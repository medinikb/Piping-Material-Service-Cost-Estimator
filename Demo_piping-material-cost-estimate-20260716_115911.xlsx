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Pipe Group" sheetId="2" r:id="rId2"/>
    <sheet name="Fitting Group" sheetId="3" r:id="rId3"/>
    <sheet name="Flange Group" sheetId="4" r:id="rId4"/>
    <sheet name="Valves Group" sheetId="5" r:id="rId5"/>
    <sheet name="Bolt Group" sheetId="6" r:id="rId6"/>
    <sheet name="Gasket Group" sheetId="7" r:id="rId7"/>
    <sheet name="Other Group" sheetId="8" r:id="rId8"/>
    <sheet name="Service Cost Part B" sheetId="9" r:id="rId9"/>
    <sheet name="Piping Service Cost" sheetId="10" r:id="rId10"/>
    <sheet name="Method and Audit" sheetId="11" r:id="rId11"/>
  </sheets>
  <definedNames>
    <definedName name="_xlnm._FilterDatabase" localSheetId="0">'Executive Summary'!A13:G20</definedName>
    <definedName name="_xlnm._FilterDatabase" localSheetId="1">'Pipe Group'!A5:O8</definedName>
    <definedName name="_xlnm._FilterDatabase" localSheetId="2">'Fitting Group'!A5:O11</definedName>
    <definedName name="_xlnm._FilterDatabase" localSheetId="3">'Flange Group'!A5:O10</definedName>
    <definedName name="_xlnm._FilterDatabase" localSheetId="4">'Valves Group'!A5:O7</definedName>
    <definedName name="_xlnm._FilterDatabase" localSheetId="5">'Bolt Group'!A5:O8</definedName>
    <definedName name="_xlnm._FilterDatabase" localSheetId="6">'Gasket Group'!A5:O7</definedName>
    <definedName name="_xlnm._FilterDatabase" localSheetId="7">'Other Group'!A5:O6</definedName>
    <definedName name="_xlnm._FilterDatabase" localSheetId="8">'Service Cost Part B'!A4:I15</definedName>
    <definedName name="_xlnm._FilterDatabase" localSheetId="9">'Piping Service Cost'!A6:R22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5">
    <numFmt numFmtId="165" formatCode="&quot;Rs &quot;#,##0.00"/>
    <numFmt numFmtId="166" formatCode="&quot;Rs &quot;#,##0.00"/>
    <numFmt numFmtId="167" formatCode="&quot;Rs &quot;#,##0.00"/>
    <numFmt numFmtId="168" formatCode="&quot;Rs &quot;#,##0.00"/>
    <numFmt numFmtId="169" formatCode="&quot;Rs &quot;#,##0.00"/>
    <numFmt numFmtId="170" formatCode="&quot;Rs &quot;#,##0.00"/>
    <numFmt numFmtId="171" formatCode="&quot;Rs &quot;#,##0.00"/>
    <numFmt numFmtId="172" formatCode="&quot;Rs &quot;#,##0.00"/>
    <numFmt numFmtId="173" formatCode="&quot;Rs &quot;#,##0.00"/>
    <numFmt numFmtId="174" formatCode="&quot;Rs &quot;#,##0.00"/>
    <numFmt numFmtId="175" formatCode="&quot;Rs &quot;#,##0.00"/>
    <numFmt numFmtId="176" formatCode="0.0%"/>
    <numFmt numFmtId="177" formatCode="&quot;Rs &quot;#,##0.00"/>
    <numFmt numFmtId="178" formatCode="&quot;Rs &quot;#,##0.00"/>
    <numFmt numFmtId="179" formatCode="&quot;Rs &quot;#,##0.00"/>
    <numFmt numFmtId="180" formatCode="&quot;Rs &quot;#,##0.00"/>
    <numFmt numFmtId="181" formatCode="&quot;Rs &quot;#,##0.00"/>
    <numFmt numFmtId="182" formatCode="&quot;Rs &quot;#,##0.00"/>
    <numFmt numFmtId="183" formatCode="&quot;Rs &quot;#,##0.00"/>
    <numFmt numFmtId="184" formatCode="0.00 &quot;ID&quot;"/>
    <numFmt numFmtId="185" formatCode="&quot;Rs &quot;#,##0.00"/>
    <numFmt numFmtId="186" formatCode="&quot;Rs &quot;#,##0.00"/>
    <numFmt numFmtId="187" formatCode="0.000 &quot;MT&quot;"/>
    <numFmt numFmtId="188" formatCode="0 &quot;Nos.&quot;"/>
    <numFmt numFmtId="189" formatCode="0.00 &quot;m2&quot;"/>
  </numFmts>
  <fonts count="90" x14ac:knownFonts="1">
    <font>
      <sz val="11"/>
      <name val="Calibri"/>
    </font>
    <font>
      <sz val="11"/>
      <name val="Calibri"/>
    </font>
    <font>
      <sz val="17"/>
      <name val="Calibri"/>
      <b/>
      <color rgb="FFFFFF"/>
    </font>
    <font>
      <sz val="10"/>
      <name val="Calibri"/>
      <color rgb="D9EAF7"/>
    </font>
    <font>
      <sz val="9"/>
      <name val="Calibri"/>
      <b/>
      <color rgb="57708C"/>
    </font>
    <font>
      <sz val="11"/>
      <name val="Calibri"/>
      <b/>
      <color rgb="0B365F"/>
    </font>
    <font>
      <sz val="9"/>
      <name val="Calibri"/>
      <b/>
      <color rgb="57708C"/>
    </font>
    <font>
      <sz val="11"/>
      <name val="Calibri"/>
      <b/>
      <color rgb="0B365F"/>
    </font>
    <font>
      <sz val="9"/>
      <name val="Calibri"/>
      <b/>
      <color rgb="DDEAF4"/>
    </font>
    <font>
      <sz val="9"/>
      <name val="Calibri"/>
      <b/>
      <color rgb="DDEAF4"/>
    </font>
    <font>
      <sz val="9"/>
      <name val="Calibri"/>
      <b/>
      <color rgb="DDEAF4"/>
    </font>
    <font>
      <sz val="9"/>
      <name val="Calibri"/>
      <b/>
      <color rgb="DDEAF4"/>
    </font>
    <font>
      <sz val="15"/>
      <name val="Calibri"/>
      <b/>
      <color rgb="FFFFFF"/>
    </font>
    <font>
      <sz val="15"/>
      <name val="Calibri"/>
      <b/>
      <color rgb="FFFFFF"/>
    </font>
    <font>
      <sz val="15"/>
      <name val="Calibri"/>
      <b/>
      <color rgb="FFFFFF"/>
    </font>
    <font>
      <sz val="15"/>
      <name val="Calibri"/>
      <b/>
      <color rgb="FFFFFF"/>
    </font>
    <font>
      <sz val="12"/>
      <name val="Calibri"/>
      <b/>
      <color rgb="FFFFFF"/>
    </font>
    <font>
      <sz val="12"/>
      <name val="Calibri"/>
      <b/>
      <color rgb="FFFFFF"/>
    </font>
    <font>
      <sz val="10"/>
      <name val="Calibri"/>
      <b/>
      <color rgb="0B365F"/>
    </font>
    <font>
      <sz val="10"/>
      <name val="Calibri"/>
      <b/>
      <color rgb="0B365F"/>
    </font>
    <font>
      <sz val="11"/>
      <name val="Calibri"/>
      <color rgb="172B4D"/>
    </font>
    <font>
      <sz val="11"/>
      <name val="Calibri"/>
      <color rgb="0B365F"/>
    </font>
    <font>
      <sz val="11"/>
      <name val="Calibri"/>
      <color rgb="57708C"/>
    </font>
    <font>
      <sz val="13"/>
      <name val="Calibri"/>
      <b/>
      <color rgb="FF681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3"/>
      <name val="Calibri"/>
      <b/>
      <color rgb="2F6E9E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3"/>
      <name val="Calibri"/>
      <b/>
      <color rgb="6FCAD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3"/>
      <name val="Calibri"/>
      <b/>
      <color rgb="0B365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3"/>
      <name val="Calibri"/>
      <b/>
      <color rgb="5E8FAE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3"/>
      <name val="Calibri"/>
      <b/>
      <color rgb="86C9D5"/>
    </font>
    <font>
      <sz val="11"/>
      <name val="Calibri"/>
      <b/>
      <color rgb="B42318"/>
    </font>
    <font>
      <sz val="13"/>
      <name val="Calibri"/>
      <b/>
      <color rgb="AFCAD9"/>
    </font>
    <font>
      <sz val="11"/>
      <name val="Calibri"/>
      <b/>
      <color rgb="0B365F"/>
    </font>
    <font>
      <sz val="11"/>
      <name val="Calibri"/>
      <b/>
      <color rgb="0B365F"/>
    </font>
    <font>
      <sz val="11"/>
      <name val="Calibri"/>
      <b/>
      <color rgb="0B365F"/>
    </font>
    <font>
      <sz val="11"/>
      <name val="Calibri"/>
      <b/>
      <color rgb="0B365F"/>
    </font>
    <font>
      <sz val="11"/>
      <name val="Calibri"/>
      <color rgb="0B365F"/>
    </font>
    <font>
      <sz val="11"/>
      <name val="Calibri"/>
      <b/>
      <color rgb="0B365F"/>
    </font>
    <font>
      <sz val="11"/>
      <name val="Calibri"/>
      <color rgb="0B365F"/>
    </font>
    <font>
      <sz val="15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color rgb="172B4D"/>
    </font>
    <font>
      <sz val="11"/>
      <name val="Calibri"/>
      <color rgb="172B4D"/>
    </font>
    <font>
      <sz val="11"/>
      <name val="Calibri"/>
      <color rgb="172B4D"/>
    </font>
    <font>
      <sz val="11"/>
      <name val="Calibri"/>
      <color rgb="0B365F"/>
    </font>
    <font>
      <sz val="11"/>
      <name val="Calibri"/>
      <color rgb="0B365F"/>
    </font>
    <font>
      <sz val="11"/>
      <name val="Calibri"/>
      <b/>
      <color rgb="0B365F"/>
    </font>
    <font>
      <sz val="11"/>
      <name val="Calibri"/>
      <color rgb="172B4D"/>
    </font>
    <font>
      <sz val="11"/>
      <name val="Calibri"/>
      <b/>
      <color rgb="B42318"/>
    </font>
    <font>
      <sz val="11"/>
      <name val="Calibri"/>
      <b/>
      <color rgb="B42318"/>
    </font>
    <font>
      <sz val="16"/>
      <name val="Calibri"/>
      <b/>
      <color rgb="FFFFFF"/>
    </font>
    <font>
      <sz val="9"/>
      <name val="Calibri"/>
      <b/>
      <color rgb="0B365F"/>
    </font>
    <font>
      <sz val="11"/>
      <name val="Calibri"/>
      <color rgb="172B4D"/>
    </font>
    <font>
      <sz val="9"/>
      <name val="Calibri"/>
      <b/>
      <color rgb="0B365F"/>
    </font>
    <font>
      <sz val="11"/>
      <name val="Calibri"/>
      <color rgb="172B4D"/>
    </font>
    <font>
      <sz val="11"/>
      <name val="Calibri"/>
      <b/>
      <color rgb="C62828"/>
    </font>
    <font>
      <sz val="11"/>
      <name val="Calibri"/>
      <b/>
      <color rgb="C62828"/>
    </font>
    <font>
      <sz val="11"/>
      <name val="Calibri"/>
      <b/>
      <color rgb="C62828"/>
    </font>
    <font>
      <sz val="10"/>
      <name val="Calibri"/>
      <color rgb="D9EAF7"/>
    </font>
    <font>
      <sz val="10"/>
      <name val="Calibri"/>
      <b/>
      <color rgb="0B365F"/>
    </font>
    <font>
      <sz val="10"/>
      <name val="Calibri"/>
      <b/>
      <color rgb="0B365F"/>
    </font>
    <font>
      <sz val="11"/>
      <name val="Calibri"/>
      <b/>
      <color rgb="0B365F"/>
    </font>
    <font>
      <sz val="11"/>
      <name val="Calibri"/>
      <b/>
      <color rgb="0B365F"/>
    </font>
    <font>
      <sz val="11"/>
      <name val="Calibri"/>
      <b/>
      <color rgb="0B365F"/>
    </font>
    <font>
      <sz val="11"/>
      <name val="Calibri"/>
      <b/>
      <color rgb="0B365F"/>
    </font>
    <font>
      <sz val="11"/>
      <name val="Calibri"/>
      <b/>
      <color rgb="0B365F"/>
    </font>
    <font>
      <sz val="11"/>
      <name val="Calibri"/>
      <b/>
      <color rgb="0B365F"/>
    </font>
    <font>
      <sz val="11"/>
      <name val="Calibri"/>
      <b/>
      <color rgb="0B365F"/>
    </font>
    <font>
      <sz val="11"/>
      <name val="Calibri"/>
      <i/>
      <color rgb="58708F"/>
    </font>
    <font>
      <sz val="12"/>
      <name val="Calibri"/>
      <b/>
      <color rgb="0B365F"/>
    </font>
    <font>
      <sz val="11"/>
      <name val="Calibri"/>
      <b/>
      <color rgb="0B365F"/>
    </font>
    <font>
      <sz val="11"/>
      <name val="Calibri"/>
      <color rgb="0B365F"/>
    </font>
    <font>
      <sz val="11"/>
      <name val="Calibri"/>
      <b/>
      <color rgb="0B365F"/>
    </font>
    <font>
      <sz val="11"/>
      <name val="Calibri"/>
      <color rgb="0B365F"/>
    </font>
    <font>
      <sz val="12"/>
      <name val="Calibri"/>
      <b/>
      <color rgb="0B365F"/>
    </font>
  </fonts>
  <fills count="7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365F"/>
        <bgColor/>
      </patternFill>
    </fill>
    <fill>
      <patternFill patternType="solid">
        <fgColor rgb="FF153E66"/>
        <bgColor/>
      </patternFill>
    </fill>
    <fill>
      <patternFill patternType="solid">
        <fgColor rgb="FFF3F8FB"/>
        <bgColor/>
      </patternFill>
    </fill>
    <fill>
      <patternFill patternType="solid">
        <fgColor rgb="FFF3F8FB"/>
        <bgColor/>
      </patternFill>
    </fill>
    <fill>
      <patternFill patternType="solid">
        <fgColor rgb="FFF3F8FB"/>
        <bgColor/>
      </patternFill>
    </fill>
    <fill>
      <patternFill patternType="solid">
        <fgColor rgb="FFF3F8FB"/>
        <bgColor/>
      </patternFill>
    </fill>
    <fill>
      <patternFill patternType="solid">
        <fgColor rgb="FFFF681F"/>
        <bgColor/>
      </patternFill>
    </fill>
    <fill>
      <patternFill patternType="solid">
        <fgColor rgb="FF0B365F"/>
        <bgColor/>
      </patternFill>
    </fill>
    <fill>
      <patternFill patternType="solid">
        <fgColor rgb="FF56E3C4"/>
        <bgColor/>
      </patternFill>
    </fill>
    <fill>
      <patternFill patternType="solid">
        <fgColor rgb="FF6FCAD0"/>
        <bgColor/>
      </patternFill>
    </fill>
    <fill>
      <patternFill patternType="solid">
        <fgColor rgb="FFFF681F"/>
        <bgColor/>
      </patternFill>
    </fill>
    <fill>
      <patternFill patternType="solid">
        <fgColor rgb="FF0B365F"/>
        <bgColor/>
      </patternFill>
    </fill>
    <fill>
      <patternFill patternType="solid">
        <fgColor rgb="FF56E3C4"/>
        <bgColor/>
      </patternFill>
    </fill>
    <fill>
      <patternFill patternType="solid">
        <fgColor rgb="FF6FCAD0"/>
        <bgColor/>
      </patternFill>
    </fill>
    <fill>
      <patternFill patternType="solid">
        <fgColor rgb="FF0B365F"/>
        <bgColor/>
      </patternFill>
    </fill>
    <fill>
      <patternFill patternType="solid">
        <fgColor rgb="FF0B365F"/>
        <bgColor/>
      </patternFill>
    </fill>
    <fill>
      <patternFill patternType="solid">
        <fgColor rgb="FFEAF3F8"/>
        <bgColor/>
      </patternFill>
    </fill>
    <fill>
      <patternFill patternType="solid">
        <fgColor rgb="FFEAF3F8"/>
        <bgColor/>
      </patternFill>
    </fill>
    <fill>
      <patternFill patternType="solid">
        <fgColor rgb="FFFF681F"/>
        <bgColor/>
      </patternFill>
    </fill>
    <fill>
      <patternFill patternType="solid">
        <fgColor rgb="FFFF681F"/>
        <bgColor/>
      </patternFill>
    </fill>
    <fill>
      <patternFill patternType="solid">
        <fgColor rgb="FFFF681F"/>
        <bgColor/>
      </patternFill>
    </fill>
    <fill>
      <patternFill patternType="solid">
        <fgColor rgb="FF0B365F"/>
        <bgColor/>
      </patternFill>
    </fill>
    <fill>
      <patternFill patternType="solid">
        <fgColor rgb="FF0B365F"/>
        <bgColor/>
      </patternFill>
    </fill>
    <fill>
      <patternFill patternType="solid">
        <fgColor rgb="FF0B365F"/>
        <bgColor/>
      </patternFill>
    </fill>
    <fill>
      <patternFill patternType="solid">
        <fgColor rgb="FF2F6E9E"/>
        <bgColor/>
      </patternFill>
    </fill>
    <fill>
      <patternFill patternType="solid">
        <fgColor rgb="FF2F6E9E"/>
        <bgColor/>
      </patternFill>
    </fill>
    <fill>
      <patternFill patternType="solid">
        <fgColor rgb="FF2F6E9E"/>
        <bgColor/>
      </patternFill>
    </fill>
    <fill>
      <patternFill patternType="solid">
        <fgColor rgb="FF6FCAD0"/>
        <bgColor/>
      </patternFill>
    </fill>
    <fill>
      <patternFill patternType="solid">
        <fgColor rgb="FF6FCAD0"/>
        <bgColor/>
      </patternFill>
    </fill>
    <fill>
      <patternFill patternType="solid">
        <fgColor rgb="FF6FCAD0"/>
        <bgColor/>
      </patternFill>
    </fill>
    <fill>
      <patternFill patternType="solid">
        <fgColor rgb="FF56E3C4"/>
        <bgColor/>
      </patternFill>
    </fill>
    <fill>
      <patternFill patternType="solid">
        <fgColor rgb="FF56E3C4"/>
        <bgColor/>
      </patternFill>
    </fill>
    <fill>
      <patternFill patternType="solid">
        <fgColor rgb="FF56E3C4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FFF2CC"/>
        <bgColor/>
      </patternFill>
    </fill>
    <fill>
      <patternFill patternType="solid">
        <fgColor rgb="FFFFFBEA"/>
        <bgColor/>
      </patternFill>
    </fill>
    <fill>
      <patternFill patternType="solid">
        <fgColor rgb="FFF3F8FB"/>
        <bgColor/>
      </patternFill>
    </fill>
    <fill>
      <patternFill patternType="solid">
        <fgColor rgb="FFF3F8FB"/>
        <bgColor/>
      </patternFill>
    </fill>
    <fill>
      <patternFill patternType="solid">
        <fgColor rgb="FF0B365F"/>
        <bgColor/>
      </patternFill>
    </fill>
    <fill>
      <patternFill patternType="solid">
        <fgColor rgb="FF0B365F"/>
        <bgColor/>
      </patternFill>
    </fill>
    <fill>
      <patternFill patternType="solid">
        <fgColor rgb="FF0B365F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EAF4F1"/>
        <bgColor/>
      </patternFill>
    </fill>
    <fill>
      <patternFill patternType="solid">
        <fgColor rgb="FFEAF4F1"/>
        <bgColor/>
      </patternFill>
    </fill>
    <fill>
      <patternFill patternType="solid">
        <fgColor rgb="FFFFF2CC"/>
        <bgColor/>
      </patternFill>
    </fill>
    <fill>
      <patternFill patternType="solid">
        <fgColor rgb="FFFDECEC"/>
        <bgColor/>
      </patternFill>
    </fill>
    <fill>
      <patternFill patternType="solid">
        <fgColor rgb="FFFDECEC"/>
        <bgColor/>
      </patternFill>
    </fill>
    <fill>
      <patternFill patternType="solid">
        <fgColor rgb="FF0B365F"/>
        <bgColor/>
      </patternFill>
    </fill>
    <fill>
      <patternFill patternType="solid">
        <fgColor rgb="FFEAF3F8"/>
        <bgColor/>
      </patternFill>
    </fill>
    <fill>
      <patternFill patternType="solid">
        <fgColor rgb="FFEAF3F8"/>
        <bgColor/>
      </patternFill>
    </fill>
    <fill>
      <patternFill patternType="solid">
        <fgColor rgb="FFFFF1E8"/>
        <bgColor/>
      </patternFill>
    </fill>
    <fill>
      <patternFill patternType="solid">
        <fgColor rgb="FFFFF1E8"/>
        <bgColor/>
      </patternFill>
    </fill>
    <fill>
      <patternFill patternType="solid">
        <fgColor rgb="FFFFF1E8"/>
        <bgColor/>
      </patternFill>
    </fill>
    <fill>
      <patternFill patternType="solid">
        <fgColor rgb="FF153E66"/>
        <bgColor/>
      </patternFill>
    </fill>
    <fill>
      <patternFill patternType="solid">
        <fgColor rgb="FFEAF3F8"/>
        <bgColor/>
      </patternFill>
    </fill>
    <fill>
      <patternFill patternType="solid">
        <fgColor rgb="FFEAF3F8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F3F8FB"/>
        <bgColor/>
      </patternFill>
    </fill>
    <fill>
      <patternFill patternType="solid">
        <fgColor rgb="FFD9EAF7"/>
        <bgColor/>
      </patternFill>
    </fill>
    <fill>
      <patternFill patternType="solid">
        <fgColor rgb="FFF3F8FB"/>
        <bgColor/>
      </patternFill>
    </fill>
    <fill>
      <patternFill patternType="solid">
        <fgColor rgb="FFFFFFFF"/>
        <bgColor/>
      </patternFill>
    </fill>
    <fill>
      <patternFill patternType="solid">
        <fgColor rgb="FFF3F8FB"/>
        <bgColor/>
      </patternFill>
    </fill>
    <fill>
      <patternFill patternType="solid">
        <fgColor rgb="FFFFFFFF"/>
        <bgColor/>
      </patternFill>
    </fill>
    <fill>
      <patternFill patternType="solid">
        <fgColor rgb="FFD9EAF7"/>
        <bgColor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E6D69A"/>
      </bottom>
      <diagonal/>
    </border>
    <border>
      <left/>
      <right/>
      <top/>
      <bottom style="thin">
        <color rgb="E6D69A"/>
      </bottom>
      <diagonal/>
    </border>
    <border>
      <left/>
      <right/>
      <top/>
      <bottom style="thin">
        <color rgb="E6D69A"/>
      </bottom>
      <diagonal/>
    </border>
    <border>
      <left/>
      <right/>
      <top/>
      <bottom style="thin">
        <color rgb="C5E3DA"/>
      </bottom>
      <diagonal/>
    </border>
    <border>
      <left/>
      <right/>
      <top/>
      <bottom style="thin">
        <color rgb="C5E3DA"/>
      </bottom>
      <diagonal/>
    </border>
    <border>
      <left/>
      <right/>
      <top/>
      <bottom style="thin">
        <color rgb="E6D69A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  <border>
      <left/>
      <right/>
      <top/>
      <bottom style="thin">
        <color rgb="D7E2EC"/>
      </bottom>
      <diagonal/>
    </border>
  </borders>
  <cellStyleXfs>
    <xf numFmtId="0" fontId="0" fillId="0" borderId="0"/>
  </cellStyleXfs>
  <cellXfs count="9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center" wrapText="true"/>
    </xf>
    <xf numFmtId="0" fontId="6" fillId="6" borderId="0" xfId="0" applyFont="1" applyFill="1" applyAlignment="1">
      <alignment vertical="center"/>
    </xf>
    <xf numFmtId="0" fontId="7" fillId="7" borderId="0" xfId="0" applyFont="1" applyFill="1" applyAlignment="1">
      <alignment vertical="center" wrapText="true"/>
    </xf>
    <xf numFmtId="0" fontId="8" fillId="8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165" fontId="12" fillId="12" borderId="0" xfId="0" applyFont="1" applyFill="1" applyNumberFormat="1" applyAlignment="1">
      <alignment horizontal="left" vertical="center"/>
    </xf>
    <xf numFmtId="166" fontId="13" fillId="13" borderId="0" xfId="0" applyFont="1" applyFill="1" applyNumberFormat="1" applyAlignment="1">
      <alignment horizontal="left" vertical="center"/>
    </xf>
    <xf numFmtId="167" fontId="14" fillId="14" borderId="0" xfId="0" applyFont="1" applyFill="1" applyNumberFormat="1" applyAlignment="1">
      <alignment horizontal="left" vertical="center"/>
    </xf>
    <xf numFmtId="168" fontId="15" fillId="15" borderId="0" xfId="0" applyFont="1" applyFill="1" applyNumberFormat="1" applyAlignment="1">
      <alignment horizontal="left" vertical="center"/>
    </xf>
    <xf numFmtId="0" fontId="16" fillId="16" borderId="0" xfId="0" applyFont="1" applyFill="1" applyAlignment="1">
      <alignment vertical="center"/>
    </xf>
    <xf numFmtId="0" fontId="17" fillId="17" borderId="0" xfId="0" applyFont="1" applyFill="1" applyAlignment="1">
      <alignment vertical="center"/>
    </xf>
    <xf numFmtId="0" fontId="18" fillId="18" borderId="2" xfId="0" applyFont="1" applyFill="1" applyBorder="1" applyAlignment="1">
      <alignment horizontal="center" vertical="center" wrapText="true"/>
    </xf>
    <xf numFmtId="0" fontId="19" fillId="19" borderId="3" xfId="0" applyFont="1" applyFill="1" applyBorder="1" applyAlignment="1">
      <alignment horizontal="center" vertical="center" wrapText="true"/>
    </xf>
    <xf numFmtId="0" fontId="20" fillId="0" borderId="4" xfId="0" applyFont="1" applyBorder="1" applyAlignment="1">
      <alignment vertical="center"/>
    </xf>
    <xf numFmtId="169" fontId="21" fillId="0" borderId="5" xfId="0" applyFont="1" applyBorder="1" applyNumberFormat="1" applyAlignment="1">
      <alignment vertical="center"/>
    </xf>
    <xf numFmtId="10" fontId="22" fillId="0" borderId="6" xfId="0" applyFont="1" applyBorder="1" applyNumberFormat="1" applyAlignment="1">
      <alignment vertical="center"/>
    </xf>
    <xf numFmtId="0" fontId="23" fillId="0" borderId="0" xfId="0" applyFont="1" applyAlignment="1">
      <alignment vertical="center"/>
    </xf>
    <xf numFmtId="0" fontId="24" fillId="20" borderId="0" xfId="0" applyFont="1" applyFill="1" applyAlignment="1">
      <alignment vertical="center"/>
    </xf>
    <xf numFmtId="170" fontId="25" fillId="21" borderId="0" xfId="0" applyFont="1" applyFill="1" applyNumberFormat="1" applyAlignment="1">
      <alignment vertical="center"/>
    </xf>
    <xf numFmtId="0" fontId="26" fillId="22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28" fillId="23" borderId="0" xfId="0" applyFont="1" applyFill="1" applyAlignment="1">
      <alignment vertical="center"/>
    </xf>
    <xf numFmtId="171" fontId="29" fillId="24" borderId="0" xfId="0" applyFont="1" applyFill="1" applyNumberFormat="1" applyAlignment="1">
      <alignment vertical="center"/>
    </xf>
    <xf numFmtId="0" fontId="30" fillId="25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32" fillId="26" borderId="0" xfId="0" applyFont="1" applyFill="1" applyAlignment="1">
      <alignment vertical="center"/>
    </xf>
    <xf numFmtId="172" fontId="33" fillId="27" borderId="0" xfId="0" applyFont="1" applyFill="1" applyNumberFormat="1" applyAlignment="1">
      <alignment vertical="center"/>
    </xf>
    <xf numFmtId="0" fontId="34" fillId="28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0" fontId="36" fillId="29" borderId="0" xfId="0" applyFont="1" applyFill="1" applyAlignment="1">
      <alignment vertical="center"/>
    </xf>
    <xf numFmtId="173" fontId="37" fillId="30" borderId="0" xfId="0" applyFont="1" applyFill="1" applyNumberFormat="1" applyAlignment="1">
      <alignment vertical="center"/>
    </xf>
    <xf numFmtId="0" fontId="38" fillId="31" borderId="0" xfId="0" applyFont="1" applyFill="1" applyAlignment="1">
      <alignment vertical="center"/>
    </xf>
    <xf numFmtId="0" fontId="39" fillId="0" borderId="0" xfId="0" applyFont="1" applyAlignment="1">
      <alignment vertical="center"/>
    </xf>
    <xf numFmtId="0" fontId="40" fillId="32" borderId="0" xfId="0" applyFont="1" applyFill="1" applyAlignment="1">
      <alignment vertical="center"/>
    </xf>
    <xf numFmtId="174" fontId="41" fillId="33" borderId="0" xfId="0" applyFont="1" applyFill="1" applyNumberFormat="1" applyAlignment="1">
      <alignment vertical="center"/>
    </xf>
    <xf numFmtId="0" fontId="42" fillId="34" borderId="0" xfId="0" applyFont="1" applyFill="1" applyAlignment="1">
      <alignment vertical="center"/>
    </xf>
    <xf numFmtId="0" fontId="43" fillId="0" borderId="0" xfId="0" applyFont="1" applyAlignment="1">
      <alignment vertical="center"/>
    </xf>
    <xf numFmtId="0" fontId="44" fillId="0" borderId="7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6" fillId="35" borderId="8" xfId="0" applyFont="1" applyFill="1" applyBorder="1"/>
    <xf numFmtId="175" fontId="47" fillId="36" borderId="0" xfId="0" applyFont="1" applyFill="1" applyNumberFormat="1"/>
    <xf numFmtId="176" fontId="48" fillId="37" borderId="0" xfId="0" applyFont="1" applyFill="1" applyNumberFormat="1"/>
    <xf numFmtId="0" fontId="49" fillId="38" borderId="0" xfId="0" applyFont="1" applyFill="1"/>
    <xf numFmtId="0" fontId="50" fillId="39" borderId="0" xfId="0" applyFont="1" applyFill="1" applyAlignment="1">
      <alignment wrapText="true"/>
    </xf>
    <xf numFmtId="0" fontId="51" fillId="40" borderId="0" xfId="0" applyFont="1" applyFill="1"/>
    <xf numFmtId="0" fontId="52" fillId="41" borderId="0" xfId="0" applyFont="1" applyFill="1" applyAlignment="1">
      <alignment wrapText="true"/>
    </xf>
    <xf numFmtId="0" fontId="53" fillId="42" borderId="0" xfId="0" applyFont="1" applyFill="1" applyAlignment="1">
      <alignment vertical="center"/>
    </xf>
    <xf numFmtId="0" fontId="54" fillId="43" borderId="9" xfId="0" applyFont="1" applyFill="1" applyBorder="1" applyAlignment="1">
      <alignment horizontal="center" vertical="center" wrapText="true"/>
    </xf>
    <xf numFmtId="0" fontId="55" fillId="44" borderId="10" xfId="0" applyFont="1" applyFill="1" applyBorder="1" applyAlignment="1">
      <alignment horizontal="center" vertical="center" wrapText="true"/>
    </xf>
    <xf numFmtId="0" fontId="0" fillId="0" borderId="0" xfId="0" applyAlignment="1">
      <alignment vertical="center" wrapText="true"/>
    </xf>
    <xf numFmtId="0" fontId="56" fillId="45" borderId="11" xfId="0" applyFont="1" applyFill="1" applyBorder="1" applyAlignment="1">
      <alignment vertical="center"/>
    </xf>
    <xf numFmtId="177" fontId="57" fillId="46" borderId="12" xfId="0" applyFont="1" applyFill="1" applyBorder="1" applyNumberFormat="1" applyAlignment="1">
      <alignment vertical="center"/>
    </xf>
    <xf numFmtId="0" fontId="58" fillId="47" borderId="13" xfId="0" applyFont="1" applyFill="1" applyBorder="1" applyAlignment="1">
      <alignment vertical="center"/>
    </xf>
    <xf numFmtId="178" fontId="59" fillId="48" borderId="14" xfId="0" applyFont="1" applyFill="1" applyBorder="1" applyNumberFormat="1" applyAlignment="1">
      <alignment vertical="center"/>
    </xf>
    <xf numFmtId="179" fontId="60" fillId="49" borderId="15" xfId="0" applyFont="1" applyFill="1" applyBorder="1" applyNumberFormat="1" applyAlignment="1">
      <alignment vertical="center"/>
    </xf>
    <xf numFmtId="0" fontId="61" fillId="0" borderId="0" xfId="0" applyFont="1"/>
    <xf numFmtId="180" fontId="62" fillId="50" borderId="16" xfId="0" applyFont="1" applyFill="1" applyBorder="1" applyNumberFormat="1" applyAlignment="1">
      <alignment vertical="center"/>
    </xf>
    <xf numFmtId="0" fontId="63" fillId="51" borderId="0" xfId="0" applyFont="1" applyFill="1" applyAlignment="1">
      <alignment vertical="center"/>
    </xf>
    <xf numFmtId="0" fontId="64" fillId="52" borderId="0" xfId="0" applyFont="1" applyFill="1" applyAlignment="1">
      <alignment vertical="center"/>
    </xf>
    <xf numFmtId="0" fontId="65" fillId="53" borderId="0" xfId="0" applyFont="1" applyFill="1" applyAlignment="1">
      <alignment vertical="center"/>
    </xf>
    <xf numFmtId="0" fontId="66" fillId="54" borderId="17" xfId="0" applyFont="1" applyFill="1" applyBorder="1" applyAlignment="1">
      <alignment vertical="center"/>
    </xf>
    <xf numFmtId="0" fontId="67" fillId="0" borderId="18" xfId="0" applyFont="1" applyBorder="1" applyAlignment="1">
      <alignment vertical="center" wrapText="true"/>
    </xf>
    <xf numFmtId="0" fontId="68" fillId="55" borderId="19" xfId="0" applyFont="1" applyFill="1" applyBorder="1" applyAlignment="1">
      <alignment vertical="center"/>
    </xf>
    <xf numFmtId="181" fontId="69" fillId="0" borderId="20" xfId="0" applyFont="1" applyBorder="1" applyNumberFormat="1" applyAlignment="1">
      <alignment vertical="center" wrapText="true"/>
    </xf>
    <xf numFmtId="0" fontId="70" fillId="56" borderId="21" xfId="0" applyFont="1" applyFill="1" applyBorder="1" applyAlignment="1">
      <alignment vertical="center"/>
    </xf>
    <xf numFmtId="182" fontId="71" fillId="57" borderId="22" xfId="0" applyFont="1" applyFill="1" applyBorder="1" applyNumberFormat="1" applyAlignment="1">
      <alignment vertical="center"/>
    </xf>
    <xf numFmtId="0" fontId="72" fillId="58" borderId="23" xfId="0" applyFont="1" applyFill="1" applyBorder="1" applyAlignment="1">
      <alignment vertical="center"/>
    </xf>
    <xf numFmtId="0" fontId="73" fillId="59" borderId="0" xfId="0" applyFont="1" applyFill="1"/>
    <xf numFmtId="0" fontId="74" fillId="60" borderId="24" xfId="0" applyFont="1" applyFill="1" applyBorder="1" applyAlignment="1">
      <alignment vertical="center"/>
    </xf>
    <xf numFmtId="0" fontId="75" fillId="61" borderId="25" xfId="0" applyFont="1" applyFill="1" applyBorder="1" applyAlignment="1">
      <alignment vertical="center"/>
    </xf>
    <xf numFmtId="183" fontId="76" fillId="62" borderId="26" xfId="0" applyFont="1" applyFill="1" applyBorder="1" applyNumberFormat="1"/>
    <xf numFmtId="184" fontId="77" fillId="63" borderId="0" xfId="0" applyFont="1" applyFill="1" applyNumberFormat="1"/>
    <xf numFmtId="185" fontId="78" fillId="64" borderId="0" xfId="0" applyFont="1" applyFill="1" applyNumberFormat="1"/>
    <xf numFmtId="186" fontId="79" fillId="65" borderId="27" xfId="0" applyFont="1" applyFill="1" applyBorder="1" applyNumberFormat="1"/>
    <xf numFmtId="187" fontId="80" fillId="66" borderId="0" xfId="0" applyFont="1" applyFill="1" applyNumberFormat="1"/>
    <xf numFmtId="188" fontId="81" fillId="67" borderId="0" xfId="0" applyFont="1" applyFill="1" applyNumberFormat="1"/>
    <xf numFmtId="189" fontId="82" fillId="68" borderId="0" xfId="0" applyFont="1" applyFill="1" applyNumberFormat="1"/>
    <xf numFmtId="0" fontId="83" fillId="69" borderId="0" xfId="0" applyFont="1" applyFill="1" applyAlignment="1">
      <alignment vertical="center" wrapText="true"/>
    </xf>
    <xf numFmtId="0" fontId="84" fillId="70" borderId="0" xfId="0" applyFont="1" applyFill="1" applyAlignment="1">
      <alignment vertical="center"/>
    </xf>
    <xf numFmtId="0" fontId="85" fillId="71" borderId="28" xfId="0" applyFont="1" applyFill="1" applyBorder="1" applyAlignment="1">
      <alignment vertical="top" wrapText="true"/>
    </xf>
    <xf numFmtId="0" fontId="86" fillId="72" borderId="29" xfId="0" applyFont="1" applyFill="1" applyBorder="1" applyAlignment="1">
      <alignment vertical="top" wrapText="true"/>
    </xf>
    <xf numFmtId="0" fontId="87" fillId="73" borderId="30" xfId="0" applyFont="1" applyFill="1" applyBorder="1" applyAlignment="1">
      <alignment vertical="top" wrapText="true"/>
    </xf>
    <xf numFmtId="0" fontId="88" fillId="74" borderId="31" xfId="0" applyFont="1" applyFill="1" applyBorder="1" applyAlignment="1">
      <alignment vertical="top" wrapText="true"/>
    </xf>
    <xf numFmtId="0" fontId="89" fillId="75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25.83203125" customWidth="1"/>
    <col min="2" max="2" width="10.83203125" customWidth="1"/>
    <col min="3" max="3" width="16.83203125" customWidth="1"/>
    <col min="4" max="4" width="16.83203125" customWidth="1"/>
    <col min="5" max="5" width="14.83203125" customWidth="1"/>
    <col min="6" max="6" width="12.83203125" customWidth="1"/>
    <col min="7" max="7" width="17.83203125" customWidth="1"/>
    <col min="8" max="8" width="3.83203125" customWidth="1"/>
    <col min="9" max="9" width="25.83203125" customWidth="1"/>
    <col min="10" max="10" width="16.83203125" customWidth="1"/>
    <col min="11" max="11" width="11.83203125" customWidth="1"/>
    <col min="12" max="12" width="29.83203125" customWidth="1"/>
    <col min="13" max="13" width="3.83203125" customWidth="1"/>
    <col min="14" max="14" width="18.83203125" customWidth="1"/>
    <col min="15" max="15" width="17.83203125" customWidth="1"/>
    <col min="16" max="16" width="22.83203125" customWidth="1"/>
  </cols>
  <sheetData>
    <row r="1" ht="30" customHeight="1">
      <c r="A1" s="3" t="str">
        <v>Piping Material &amp; Service Cost Estimate Report</v>
      </c>
    </row>
    <row r="2" ht="20" customHeight="1">
      <c r="A2" s="4" t="str">
        <v>Part A material estimate plus Part B direct piping service cost - editable Excel workbook</v>
      </c>
    </row>
    <row r="3" ht="26" customHeight="1">
      <c r="A3" s="5" t="str">
        <v>PROJECT / JOB DESCRIPTION</v>
      </c>
      <c r="B3" s="6" t="str">
        <v>Demo</v>
      </c>
      <c r="I3" s="7" t="str">
        <v>PROJECT NO. / MOC NO. / JOB NO.</v>
      </c>
      <c r="J3" s="8" t="str">
        <v>Demo No-0001-2026</v>
      </c>
    </row>
    <row r="4" ht="22" customHeight="1">
      <c r="A4" s="7" t="str">
        <v>YEAR BASIS</v>
      </c>
      <c r="B4" s="8" t="str">
        <v>2026</v>
      </c>
      <c r="D4" s="7" t="str">
        <v>DESIGN TEMPERATURE (C)</v>
      </c>
      <c r="E4" s="8" t="str">
        <v>Not specified</v>
      </c>
      <c r="I4" s="7" t="str">
        <v>TOTAL BOM ITEMS</v>
      </c>
      <c r="J4" s="8">
        <v>22</v>
      </c>
    </row>
    <row r="5"/>
    <row r="6"/>
    <row r="7" ht="19" customHeight="1">
      <c r="A7" s="9" t="str">
        <v>PART A - MATERIAL BASE</v>
      </c>
      <c r="E7" s="10" t="str">
        <v>PART B - DIRECT SERVICE</v>
      </c>
      <c r="I7" s="11" t="str">
        <v>TOTAL BASE PROJECT COST</v>
      </c>
      <c r="M7" s="12" t="str">
        <v>APPROVAL ENVELOPE</v>
      </c>
    </row>
    <row r="8" ht="26" customHeight="1">
      <c r="A8" s="13">
        <f>C21</f>
        <v>7102814.20212941</v>
      </c>
      <c r="E8" s="14">
        <f>'Service Cost Part B'!G16</f>
        <v>5857515.304583036</v>
      </c>
      <c r="I8" s="15">
        <f>C21+'Service Cost Part B'!G16</f>
        <v>12960329.506712446</v>
      </c>
      <c r="M8" s="16">
        <f>D21+'Service Cost Part B'!G16</f>
        <v>16511736.607777152</v>
      </c>
    </row>
    <row r="9" ht="26" customHeight="1"/>
    <row r="10"/>
    <row r="11" ht="22" customHeight="1">
      <c r="A11" s="17" t="str">
        <v>Part A - Component Cost Summary</v>
      </c>
      <c r="I11" s="18" t="str">
        <v>Part A - Group-wise Cost</v>
      </c>
      <c r="N11" s="18" t="str">
        <v>Project Approval Bridge</v>
      </c>
    </row>
    <row r="12" ht="21" customHeight="1"/>
    <row r="13">
      <c r="A13" s="19" t="str">
        <v>Group</v>
      </c>
      <c r="B13" s="20" t="str">
        <v>Items</v>
      </c>
      <c r="C13" s="20" t="str">
        <v>Normal Total</v>
      </c>
      <c r="D13" s="20" t="str">
        <v>P90 Total</v>
      </c>
      <c r="E13" s="20" t="str">
        <v>Risk Reserve</v>
      </c>
      <c r="F13" s="20" t="str">
        <v>Share</v>
      </c>
      <c r="G13" s="20" t="str">
        <v>Status</v>
      </c>
      <c r="I13" s="20" t="str">
        <v>Group</v>
      </c>
      <c r="J13" s="20" t="str">
        <v>Normal Total</v>
      </c>
      <c r="K13" s="20" t="str">
        <v>Share</v>
      </c>
      <c r="L13" s="20" t="str">
        <v>Visual bar</v>
      </c>
      <c r="N13" s="20" t="str">
        <v>Stage</v>
      </c>
      <c r="O13" s="20" t="str">
        <v>Value</v>
      </c>
      <c r="P13" s="20" t="str">
        <v>Visual</v>
      </c>
    </row>
    <row r="14">
      <c r="A14" s="21" t="str">
        <v>Pipe Group</v>
      </c>
      <c r="B14" s="21">
        <v>3</v>
      </c>
      <c r="C14" s="22">
        <f>'Pipe Group'!L11</f>
        <v>4008422.548624771</v>
      </c>
      <c r="D14" s="22">
        <f>'Pipe Group'!M11</f>
        <v>6012633.822937157</v>
      </c>
      <c r="E14" s="22">
        <f>D14-C14</f>
        <v>2004211.2743123858</v>
      </c>
      <c r="F14" s="23">
        <f>IFERROR(C14/$C$21,0)</f>
        <v>0.5643428695379719</v>
      </c>
      <c r="G14" s="21" t="str">
        <v>Priced</v>
      </c>
      <c r="I14" s="21" t="str">
        <f>A14</f>
        <v>Pipe Group</v>
      </c>
      <c r="J14" s="22">
        <f>C14</f>
        <v>4008422.548624771</v>
      </c>
      <c r="K14" s="23">
        <f>F14</f>
        <v>0.5643428695379719</v>
      </c>
      <c r="L14" s="24" t="str">
        <f>REPT("█",MAX(1,ROUND(K14*24,0)))</f>
        <v>████████████████████████</v>
      </c>
      <c r="N14" s="25" t="str">
        <v>Part A - Material base</v>
      </c>
      <c r="O14" s="26">
        <f>C21</f>
        <v>7102814.20212941</v>
      </c>
      <c r="P14" s="27" t="str">
        <f>REPT("█",MAX(1,ROUND(O14/MAX($O$14:$O$16)*16,0)))</f>
        <v>███████████</v>
      </c>
    </row>
    <row r="15">
      <c r="A15" s="21" t="str">
        <v>Valves Group</v>
      </c>
      <c r="B15" s="21">
        <v>2</v>
      </c>
      <c r="C15" s="22">
        <f>'Valves Group'!L10</f>
        <v>2133722.1376854563</v>
      </c>
      <c r="D15" s="22">
        <f>'Valves Group'!M10</f>
        <v>3200583.206528185</v>
      </c>
      <c r="E15" s="22">
        <f>D15-C15</f>
        <v>1066861.0688427286</v>
      </c>
      <c r="F15" s="23">
        <f>IFERROR(C15/$C$21,0)</f>
        <v>0.300405174197823</v>
      </c>
      <c r="G15" s="21" t="str">
        <v>Priced</v>
      </c>
      <c r="I15" s="21" t="str">
        <f>A15</f>
        <v>Valves Group</v>
      </c>
      <c r="J15" s="22">
        <f>C15</f>
        <v>2133722.1376854563</v>
      </c>
      <c r="K15" s="23">
        <f>F15</f>
        <v>0.300405174197823</v>
      </c>
      <c r="L15" s="28" t="str">
        <f>REPT("█",MAX(1,ROUND(K15*24,0)))</f>
        <v>█████████████</v>
      </c>
      <c r="N15" s="29" t="str">
        <v>Part B - Service base</v>
      </c>
      <c r="O15" s="30">
        <f>'Service Cost Part B'!G16</f>
        <v>5857515.304583036</v>
      </c>
      <c r="P15" s="31" t="str">
        <f>REPT("█",MAX(1,ROUND(O15/MAX($O$14:$O$16)*16,0)))</f>
        <v>█████████</v>
      </c>
    </row>
    <row r="16">
      <c r="A16" s="21" t="str">
        <v>Flange Group</v>
      </c>
      <c r="B16" s="21">
        <v>5</v>
      </c>
      <c r="C16" s="22">
        <f>'Flange Group'!L13</f>
        <v>529044.304</v>
      </c>
      <c r="D16" s="22">
        <f>'Flange Group'!M13</f>
        <v>793566.456</v>
      </c>
      <c r="E16" s="22">
        <f>D16-C16</f>
        <v>264522.152</v>
      </c>
      <c r="F16" s="23">
        <f>IFERROR(C16/$C$21,0)</f>
        <v>0.07448375938672218</v>
      </c>
      <c r="G16" s="21" t="str">
        <v>Priced</v>
      </c>
      <c r="I16" s="21" t="str">
        <f>A16</f>
        <v>Flange Group</v>
      </c>
      <c r="J16" s="22">
        <f>C16</f>
        <v>529044.304</v>
      </c>
      <c r="K16" s="23">
        <f>F16</f>
        <v>0.07448375938672218</v>
      </c>
      <c r="L16" s="32" t="str">
        <f>REPT("█",MAX(1,ROUND(K16*24,0)))</f>
        <v>███</v>
      </c>
      <c r="N16" s="33" t="str">
        <v>Total base project cost</v>
      </c>
      <c r="O16" s="34">
        <f>C21+'Service Cost Part B'!G16</f>
        <v>12960329.506712446</v>
      </c>
      <c r="P16" s="35" t="str">
        <f>REPT("█",MAX(1,ROUND(O16/MAX($O$14:$O$16)*16,0)))</f>
        <v>███████████████████</v>
      </c>
    </row>
    <row r="17">
      <c r="A17" s="21" t="str">
        <v>Fitting Group</v>
      </c>
      <c r="B17" s="21">
        <v>6</v>
      </c>
      <c r="C17" s="22">
        <f>'Fitting Group'!L14</f>
        <v>271651.2292130488</v>
      </c>
      <c r="D17" s="22">
        <f>'Fitting Group'!M14</f>
        <v>407476.84381957346</v>
      </c>
      <c r="E17" s="22">
        <f>D17-C17</f>
        <v>135825.61460652464</v>
      </c>
      <c r="F17" s="23">
        <f>IFERROR(C17/$C$21,0)</f>
        <v>0.03824557724339858</v>
      </c>
      <c r="G17" s="21" t="str">
        <v>Priced</v>
      </c>
      <c r="I17" s="21" t="str">
        <f>A17</f>
        <v>Fitting Group</v>
      </c>
      <c r="J17" s="22">
        <f>C17</f>
        <v>271651.2292130488</v>
      </c>
      <c r="K17" s="23">
        <f>F17</f>
        <v>0.03824557724339858</v>
      </c>
      <c r="L17" s="36" t="str">
        <f>REPT("█",MAX(1,ROUND(K17*24,0)))</f>
        <v>██</v>
      </c>
      <c r="N17" s="37" t="str">
        <v>Material reserve</v>
      </c>
      <c r="O17" s="38">
        <f>D21-C21</f>
        <v>3551407.101064707</v>
      </c>
      <c r="P17" s="39" t="str">
        <f>REPT("█",MAX(1,ROUND(O17/MAX($O$14:$O$16)*16,0)))</f>
        <v>█████</v>
      </c>
    </row>
    <row r="18">
      <c r="A18" s="21" t="str">
        <v>Bolt Group</v>
      </c>
      <c r="B18" s="21">
        <v>3</v>
      </c>
      <c r="C18" s="22">
        <f>'Bolt Group'!L11</f>
        <v>152514.31679505075</v>
      </c>
      <c r="D18" s="22">
        <f>'Bolt Group'!M11</f>
        <v>228771.4751925761</v>
      </c>
      <c r="E18" s="22">
        <f>D18-C18</f>
        <v>76257.15839752535</v>
      </c>
      <c r="F18" s="23">
        <f>IFERROR(C18/$C$21,0)</f>
        <v>0.021472378757891097</v>
      </c>
      <c r="G18" s="21" t="str">
        <v>Priced</v>
      </c>
      <c r="I18" s="21" t="str">
        <f>A18</f>
        <v>Bolt Group</v>
      </c>
      <c r="J18" s="22">
        <f>C18</f>
        <v>152514.31679505075</v>
      </c>
      <c r="K18" s="23">
        <f>F18</f>
        <v>0.021472378757891097</v>
      </c>
      <c r="L18" s="40" t="str">
        <f>REPT("█",MAX(1,ROUND(K18*24,0)))</f>
        <v>█</v>
      </c>
      <c r="N18" s="41" t="str">
        <v>Approval envelope</v>
      </c>
      <c r="O18" s="42">
        <f>D21+'Service Cost Part B'!G16</f>
        <v>16511736.607777152</v>
      </c>
      <c r="P18" s="43" t="str">
        <f>REPT("█",MAX(1,ROUND(O18/MAX($O$14:$O$16)*16,0)))</f>
        <v>█████████████████████████</v>
      </c>
    </row>
    <row r="19">
      <c r="A19" s="21" t="str">
        <v>Gasket Group</v>
      </c>
      <c r="B19" s="21">
        <v>2</v>
      </c>
      <c r="C19" s="22">
        <f>'Gasket Group'!L10</f>
        <v>7459.665811082999</v>
      </c>
      <c r="D19" s="22">
        <f>'Gasket Group'!M10</f>
        <v>11189.4987166245</v>
      </c>
      <c r="E19" s="22">
        <f>D19-C19</f>
        <v>3729.8329055414997</v>
      </c>
      <c r="F19" s="23">
        <f>IFERROR(C19/$C$21,0)</f>
        <v>0.0010502408761933553</v>
      </c>
      <c r="G19" s="21" t="str">
        <v>Priced</v>
      </c>
      <c r="I19" s="21" t="str">
        <f>A19</f>
        <v>Gasket Group</v>
      </c>
      <c r="J19" s="22">
        <f>C19</f>
        <v>7459.665811082999</v>
      </c>
      <c r="K19" s="23">
        <f>F19</f>
        <v>0.0010502408761933553</v>
      </c>
      <c r="L19" s="44" t="str">
        <f>REPT("█",MAX(1,ROUND(K19*24,0)))</f>
        <v>█</v>
      </c>
    </row>
    <row r="20">
      <c r="A20" s="21" t="str">
        <v>Other Group</v>
      </c>
      <c r="B20" s="21">
        <v>1</v>
      </c>
      <c r="C20" s="22">
        <f>'Other Group'!L9</f>
        <v>0</v>
      </c>
      <c r="D20" s="22">
        <f>'Other Group'!M9</f>
        <v>0</v>
      </c>
      <c r="E20" s="22">
        <f>D20-C20</f>
        <v>0</v>
      </c>
      <c r="F20" s="23">
        <f>IFERROR(C20/$C$21,0)</f>
        <v>0</v>
      </c>
      <c r="G20" s="45" t="str">
        <v>Review required</v>
      </c>
      <c r="I20" s="21" t="str">
        <f>A20</f>
        <v>Other Group</v>
      </c>
      <c r="J20" s="22">
        <f>C20</f>
        <v>0</v>
      </c>
      <c r="K20" s="23">
        <f>F20</f>
        <v>0</v>
      </c>
      <c r="L20" s="46" t="str">
        <f>REPT("█",MAX(1,ROUND(K20*24,0)))</f>
        <v>█</v>
      </c>
    </row>
    <row r="21">
      <c r="A21" s="47" t="str">
        <v>TOTAL ESTIMATED MATERIAL COST</v>
      </c>
      <c r="C21" s="48">
        <f>SUM(C14:C20)</f>
        <v>7102814.20212941</v>
      </c>
      <c r="D21" s="48">
        <f>SUM(D14:D20)</f>
        <v>10654221.303194117</v>
      </c>
      <c r="E21" s="48">
        <f>D21-C21</f>
        <v>3551407.101064707</v>
      </c>
      <c r="F21" s="49">
        <f>1</f>
        <v>1</v>
      </c>
    </row>
    <row r="24">
      <c r="I24" s="18" t="str">
        <v>Part B - Service Cost Summary</v>
      </c>
    </row>
    <row r="25">
      <c r="I25" s="20" t="str">
        <v>Work Package</v>
      </c>
      <c r="J25" s="20" t="str">
        <v>Direct Cost</v>
      </c>
      <c r="K25" s="20" t="str">
        <v>Share</v>
      </c>
      <c r="L25" s="20" t="str">
        <v>Visual bar</v>
      </c>
    </row>
    <row r="26">
      <c r="I26" s="21" t="str">
        <v>Erection of Pipes Other Than Fabricated Spools</v>
      </c>
      <c r="J26" s="22">
        <f>'Service Cost Part B'!G8</f>
        <v>1733955</v>
      </c>
      <c r="K26" s="23">
        <f>IFERROR(J26/$J$37,0)</f>
        <v>0.29602227392275343</v>
      </c>
      <c r="L26" s="24" t="str">
        <f>REPT("█",MAX(1,ROUND(K26*24,0)))</f>
        <v>████████████████████████</v>
      </c>
    </row>
    <row r="27">
      <c r="I27" s="21" t="str">
        <v>Piping Spool Fabrication and Erection</v>
      </c>
      <c r="J27" s="22">
        <f>'Service Cost Part B'!G5</f>
        <v>1598698</v>
      </c>
      <c r="K27" s="23">
        <f>IFERROR(J27/$J$37,0)</f>
        <v>0.27293108372233305</v>
      </c>
      <c r="L27" s="28" t="str">
        <f>REPT("█",MAX(1,ROUND(K27*24,0)))</f>
        <v>██████████████████████</v>
      </c>
    </row>
    <row r="28">
      <c r="I28" s="21" t="str">
        <v>Installation of Pipe Fittings</v>
      </c>
      <c r="J28" s="22">
        <f>'Service Cost Part B'!G6</f>
        <v>590200</v>
      </c>
      <c r="K28" s="23">
        <f>IFERROR(J28/$J$37,0)</f>
        <v>0.10075944650767123</v>
      </c>
      <c r="L28" s="32" t="str">
        <f>REPT("█",MAX(1,ROUND(K28*24,0)))</f>
        <v>████████</v>
      </c>
    </row>
    <row r="29">
      <c r="I29" s="21" t="str">
        <v>Pipe Structural Support Works</v>
      </c>
      <c r="J29" s="22">
        <f>'Service Cost Part B'!G11</f>
        <v>507109.0185162</v>
      </c>
      <c r="K29" s="23">
        <f>IFERROR(J29/$J$37,0)</f>
        <v>0.08657408340349156</v>
      </c>
      <c r="L29" s="36" t="str">
        <f>REPT("█",MAX(1,ROUND(K29*24,0)))</f>
        <v>███████</v>
      </c>
    </row>
    <row r="30">
      <c r="I30" s="21" t="str">
        <v>Piping Rework and Modification</v>
      </c>
      <c r="J30" s="22">
        <f>'Service Cost Part B'!G10</f>
        <v>368582.7</v>
      </c>
      <c r="K30" s="23">
        <f>IFERROR(J30/$J$37,0)</f>
        <v>0.06292475236242466</v>
      </c>
      <c r="L30" s="40" t="str">
        <f>REPT("█",MAX(1,ROUND(K30*24,0)))</f>
        <v>█████</v>
      </c>
    </row>
    <row r="31">
      <c r="I31" s="21" t="str">
        <v>Post-Weld Heat Treatment</v>
      </c>
      <c r="J31" s="22">
        <f>'Service Cost Part B'!G15</f>
        <v>313344</v>
      </c>
      <c r="K31" s="23">
        <f>IFERROR(J31/$J$37,0)</f>
        <v>0.053494354467129336</v>
      </c>
      <c r="L31" s="44" t="str">
        <f>REPT("█",MAX(1,ROUND(K31*24,0)))</f>
        <v>████</v>
      </c>
    </row>
    <row r="32">
      <c r="I32" s="21" t="str">
        <v>Installation of Flanges and Flanged Joints</v>
      </c>
      <c r="J32" s="22">
        <f>'Service Cost Part B'!G7</f>
        <v>268320</v>
      </c>
      <c r="K32" s="23">
        <f>IFERROR(J32/$J$37,0)</f>
        <v>0.04580781885282675</v>
      </c>
      <c r="L32" s="46" t="str">
        <f>REPT("█",MAX(1,ROUND(K32*24,0)))</f>
        <v>████</v>
      </c>
    </row>
    <row r="33">
      <c r="I33" s="21" t="str">
        <v>Piping Painting and Identification Works</v>
      </c>
      <c r="J33" s="22">
        <f>'Service Cost Part B'!G13</f>
        <v>249461.29996776578</v>
      </c>
      <c r="K33" s="23">
        <f>IFERROR(J33/$J$37,0)</f>
        <v>0.04258824552666252</v>
      </c>
      <c r="L33" s="24" t="str">
        <f>REPT("█",MAX(1,ROUND(K33*24,0)))</f>
        <v>███</v>
      </c>
    </row>
    <row r="34">
      <c r="I34" s="21" t="str">
        <v>Civil Works for Pipe Supports</v>
      </c>
      <c r="J34" s="22">
        <f>'Service Cost Part B'!G12</f>
        <v>163800</v>
      </c>
      <c r="K34" s="23">
        <f>IFERROR(J34/$J$37,0)</f>
        <v>0.027964075462481443</v>
      </c>
      <c r="L34" s="28" t="str">
        <f>REPT("█",MAX(1,ROUND(K34*24,0)))</f>
        <v>██</v>
      </c>
    </row>
    <row r="35">
      <c r="I35" s="21" t="str">
        <v>Valve Installation</v>
      </c>
      <c r="J35" s="22">
        <f>'Service Cost Part B'!G9</f>
        <v>64045.28609906991</v>
      </c>
      <c r="K35" s="23">
        <f>IFERROR(J35/$J$37,0)</f>
        <v>0.010933865772225914</v>
      </c>
      <c r="L35" s="32" t="str">
        <f>REPT("█",MAX(1,ROUND(K35*24,0)))</f>
        <v>█</v>
      </c>
    </row>
    <row r="36">
      <c r="I36" s="21" t="str">
        <v>Piping Insulation Works</v>
      </c>
      <c r="J36" s="22">
        <f>'Service Cost Part B'!G14</f>
        <v>0</v>
      </c>
      <c r="K36" s="23">
        <f>IFERROR(J36/$J$37,0)</f>
        <v>0</v>
      </c>
      <c r="L36" s="36" t="str">
        <f>REPT("█",MAX(1,ROUND(K36*24,0)))</f>
        <v>█</v>
      </c>
    </row>
    <row r="37">
      <c r="I37" s="47" t="str">
        <v>TOTAL DIRECT SERVICE COST</v>
      </c>
      <c r="J37" s="48">
        <f>'Service Cost Part B'!G16</f>
        <v>5857515.304583036</v>
      </c>
      <c r="K37" s="49">
        <f>1</f>
        <v>1</v>
      </c>
    </row>
    <row r="40">
      <c r="A40" s="50" t="str">
        <v>Workbook inputs</v>
      </c>
      <c r="B40" s="51" t="str">
        <v>Pale-yellow cells in each group sheet are editable: Qty, Base Rate Rs, Factor and P90 Ratio. All totals and this Executive Summary recalculate in Excel.</v>
      </c>
    </row>
    <row r="41">
      <c r="A41" s="52" t="str">
        <v>Scope</v>
      </c>
      <c r="B41" s="53" t="str">
        <v>Part A is an indicative material estimate. Part B is direct piping service cost. Taxes, freight, escalation, contingency, packing, wastage, contractor margin and commercial terms are excluded unless separately stated.</v>
      </c>
    </row>
  </sheetData>
  <autoFilter ref="A13:G20"/>
  <mergeCells count="20">
    <mergeCell ref="A1:P1"/>
    <mergeCell ref="A2:P2"/>
    <mergeCell ref="B3:H3"/>
    <mergeCell ref="J3:P3"/>
    <mergeCell ref="B4:H4"/>
    <mergeCell ref="J4:P4"/>
    <mergeCell ref="A7:D7"/>
    <mergeCell ref="A8:D9"/>
    <mergeCell ref="E7:H7"/>
    <mergeCell ref="E8:H9"/>
    <mergeCell ref="I7:L7"/>
    <mergeCell ref="I8:L9"/>
    <mergeCell ref="M7:P7"/>
    <mergeCell ref="M8:P9"/>
    <mergeCell ref="A11:G11"/>
    <mergeCell ref="I11:L11"/>
    <mergeCell ref="N11:P11"/>
    <mergeCell ref="I24:L24"/>
    <mergeCell ref="B40:P40"/>
    <mergeCell ref="B41:P41"/>
  </mergeCells>
  <ignoredErrors>
    <ignoredError numberStoredAsText="1" sqref="A1:P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26.83203125" customWidth="1"/>
    <col min="2" max="2" width="13.83203125" customWidth="1"/>
    <col min="3" max="3" width="17.83203125" customWidth="1"/>
    <col min="4" max="4" width="24.83203125" customWidth="1"/>
    <col min="5" max="5" width="25.83203125" customWidth="1"/>
    <col min="6" max="6" width="10.83203125" customWidth="1"/>
    <col min="7" max="7" width="10.83203125" customWidth="1"/>
    <col min="8" max="8" width="15.83203125" customWidth="1"/>
    <col min="9" max="9" width="11.83203125" customWidth="1"/>
    <col min="10" max="10" width="14.83203125" customWidth="1"/>
    <col min="11" max="11" width="12.83203125" customWidth="1"/>
    <col min="12" max="12" width="18.83203125" customWidth="1"/>
    <col min="13" max="13" width="17.83203125" customWidth="1"/>
    <col min="14" max="14" width="13.83203125" customWidth="1"/>
    <col min="15" max="15" width="48.83203125" customWidth="1"/>
  </cols>
  <sheetData>
    <row r="1" ht="24" customHeight="1">
      <c r="A1" s="54" t="str">
        <v>Piping Material &amp; Service Cost Estimator - Editable Component Cost Sheet</v>
      </c>
    </row>
    <row r="2">
      <c r="A2" s="2" t="str">
        <v>Group</v>
      </c>
      <c r="B2" s="2" t="str">
        <v>Pipe Group</v>
      </c>
    </row>
    <row r="3" ht="30" customHeight="1">
      <c r="A3" s="2" t="str">
        <v>Edit pale-yellow cells only. Unit Rs, totals, and P90 values recalculate automatically in Microsoft Excel.</v>
      </c>
    </row>
    <row r="4"/>
    <row r="5" ht="32" customHeight="1">
      <c r="A5" s="55" t="str">
        <v>Item</v>
      </c>
      <c r="B5" s="56" t="str">
        <v>Size</v>
      </c>
      <c r="C5" s="56" t="str">
        <v>Rating / Thk</v>
      </c>
      <c r="D5" s="56" t="str">
        <v>Material</v>
      </c>
      <c r="E5" s="56" t="str">
        <v>Material Category</v>
      </c>
      <c r="F5" s="56" t="str">
        <v>Qty</v>
      </c>
      <c r="G5" s="56" t="str">
        <v>UOM</v>
      </c>
      <c r="H5" s="56" t="str">
        <v>Base Rate Rs</v>
      </c>
      <c r="I5" s="56" t="str">
        <v>Factor</v>
      </c>
      <c r="J5" s="56" t="str">
        <v>Unit Rs</v>
      </c>
      <c r="K5" s="56" t="str">
        <v>P90 Ratio</v>
      </c>
      <c r="L5" s="56" t="str">
        <v>Normal Total Rs</v>
      </c>
      <c r="M5" s="56" t="str">
        <v>P90 Total Rs</v>
      </c>
      <c r="N5" s="56" t="str">
        <v>Rate Status</v>
      </c>
      <c r="O5" s="56" t="str">
        <v>Source / Note</v>
      </c>
    </row>
    <row r="6">
      <c r="A6" s="57" t="str">
        <v>PIPE SEAMLESS</v>
      </c>
      <c r="B6" s="57" t="str">
        <v>12"</v>
      </c>
      <c r="C6" s="57" t="str">
        <v>22 mm</v>
      </c>
      <c r="D6" s="57" t="str">
        <v>ASTM A106 GR.B</v>
      </c>
      <c r="E6" s="57" t="str">
        <v>Carbon Steel</v>
      </c>
      <c r="F6" s="58">
        <v>240</v>
      </c>
      <c r="G6" s="57" t="str">
        <v>M</v>
      </c>
      <c r="H6" s="59">
        <v>16658.12954619</v>
      </c>
      <c r="I6" s="60">
        <v>1</v>
      </c>
      <c r="J6" s="61">
        <f>IF(AND(ISNUMBER(H6),ISNUMBER(I6)),H6*I6,"Review")</f>
        <v>16658.12954619</v>
      </c>
      <c r="K6" s="60">
        <v>1.5</v>
      </c>
      <c r="L6" s="62">
        <f>IF(AND(ISNUMBER(F6),ISNUMBER(J6)),F6*J6,"Review")</f>
        <v>3997951.0910856</v>
      </c>
      <c r="M6" s="62">
        <f>IF(AND(ISNUMBER(L6),ISNUMBER(K6)),L6*K6,"Review")</f>
        <v>5996926.636628401</v>
      </c>
      <c r="N6" s="57" t="str">
        <v>Priced</v>
      </c>
      <c r="O6" s="57" t="str">
        <v>Component factor 1.00 x pressure multiplier 1.00 x material multiplier 1.00 x 1m equivalent pipe rate. | Demo_Piping BOM for 12-NG HEADER.xlsx</v>
      </c>
    </row>
    <row r="7">
      <c r="A7" s="57" t="str">
        <v>PIPE SEAMLESS</v>
      </c>
      <c r="B7" s="57" t="str">
        <v>2"</v>
      </c>
      <c r="C7" s="57" t="str">
        <v>XS</v>
      </c>
      <c r="D7" s="57" t="str">
        <v>ASTM A106 GR.B</v>
      </c>
      <c r="E7" s="57" t="str">
        <v>Carbon Steel</v>
      </c>
      <c r="F7" s="60">
        <v>12</v>
      </c>
      <c r="G7" s="57" t="str">
        <v>M</v>
      </c>
      <c r="H7" s="59">
        <v>760.87557946332</v>
      </c>
      <c r="I7" s="60">
        <v>1</v>
      </c>
      <c r="J7" s="62">
        <f>IF(AND(ISNUMBER(H7),ISNUMBER(I7)),H7*I7,"Review")</f>
        <v>760.87557946332</v>
      </c>
      <c r="K7" s="60">
        <v>1.4999999999999998</v>
      </c>
      <c r="L7" s="62">
        <f>IF(AND(ISNUMBER(F7),ISNUMBER(J7)),F7*J7,"Review")</f>
        <v>9130.506953559841</v>
      </c>
      <c r="M7" s="62">
        <f>IF(AND(ISNUMBER(L7),ISNUMBER(K7)),L7*K7,"Review")</f>
        <v>13695.76043033976</v>
      </c>
      <c r="N7" s="57" t="str">
        <v>Priced</v>
      </c>
      <c r="O7" s="57" t="str">
        <v>Component factor 1.00 x pressure multiplier 1.00 x material multiplier 1.00 x 1m equivalent pipe rate. | Demo_Piping BOM for 12-NG HEADER.xlsx</v>
      </c>
    </row>
    <row r="8">
      <c r="A8" s="57" t="str">
        <v>PIPE SEAMLESS</v>
      </c>
      <c r="B8" s="57" t="str">
        <v>3/4"</v>
      </c>
      <c r="C8" s="57" t="str">
        <v>XS</v>
      </c>
      <c r="D8" s="57" t="str">
        <v>ASTM A106 GR.B</v>
      </c>
      <c r="E8" s="57" t="str">
        <v>Carbon Steel</v>
      </c>
      <c r="F8" s="60">
        <v>6</v>
      </c>
      <c r="G8" s="57" t="str">
        <v>M</v>
      </c>
      <c r="H8" s="59">
        <v>223.491764268495</v>
      </c>
      <c r="I8" s="60">
        <v>1</v>
      </c>
      <c r="J8" s="62">
        <f>IF(AND(ISNUMBER(H8),ISNUMBER(I8)),H8*I8,"Review")</f>
        <v>223.491764268495</v>
      </c>
      <c r="K8" s="60">
        <v>1.5</v>
      </c>
      <c r="L8" s="62">
        <f>IF(AND(ISNUMBER(F8),ISNUMBER(J8)),F8*J8,"Review")</f>
        <v>1340.95058561097</v>
      </c>
      <c r="M8" s="62">
        <f>IF(AND(ISNUMBER(L8),ISNUMBER(K8)),L8*K8,"Review")</f>
        <v>2011.425878416455</v>
      </c>
      <c r="N8" s="57" t="str">
        <v>Priced</v>
      </c>
      <c r="O8" s="57" t="str">
        <v>Component factor 1.00 x pressure multiplier 1.00 x material multiplier 1.00 x 1m equivalent pipe rate. | Demo_Piping BOM for 12-NG HEADER.xlsx</v>
      </c>
    </row>
    <row r="11">
      <c r="A11" s="63" t="str">
        <v>Group total</v>
      </c>
      <c r="L11" s="62">
        <f>SUM(L6:L9)</f>
        <v>4008422.548624771</v>
      </c>
      <c r="M11" s="62">
        <f>SUM(M6:M9)</f>
        <v>6012633.822937157</v>
      </c>
    </row>
    <row r="13">
      <c r="A13" s="63" t="str">
        <v>Workbook note</v>
      </c>
      <c r="B13" s="57" t="str">
        <v>Base Rate Rs, Factor, Qty and P90 Ratio are editable. The app-calculated Unit Rs is represented as Base Rate x Factor so commercial changes flow into all totals.</v>
      </c>
    </row>
  </sheetData>
  <autoFilter ref="A5:O8"/>
  <mergeCells count="3">
    <mergeCell ref="A1:O1"/>
    <mergeCell ref="A3:O3"/>
    <mergeCell ref="B13:O13"/>
  </mergeCells>
  <ignoredErrors>
    <ignoredError numberStoredAsText="1" sqref="A1:O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cols>
    <col min="1" max="1" width="26.83203125" customWidth="1"/>
    <col min="2" max="2" width="13.83203125" customWidth="1"/>
    <col min="3" max="3" width="17.83203125" customWidth="1"/>
    <col min="4" max="4" width="24.83203125" customWidth="1"/>
    <col min="5" max="5" width="25.83203125" customWidth="1"/>
    <col min="6" max="6" width="10.83203125" customWidth="1"/>
    <col min="7" max="7" width="10.83203125" customWidth="1"/>
    <col min="8" max="8" width="15.83203125" customWidth="1"/>
    <col min="9" max="9" width="11.83203125" customWidth="1"/>
    <col min="10" max="10" width="14.83203125" customWidth="1"/>
    <col min="11" max="11" width="12.83203125" customWidth="1"/>
    <col min="12" max="12" width="18.83203125" customWidth="1"/>
    <col min="13" max="13" width="17.83203125" customWidth="1"/>
    <col min="14" max="14" width="13.83203125" customWidth="1"/>
    <col min="15" max="15" width="48.83203125" customWidth="1"/>
  </cols>
  <sheetData>
    <row r="1" ht="24" customHeight="1">
      <c r="A1" s="54" t="str">
        <v>Piping Material &amp; Service Cost Estimator - Editable Component Cost Sheet</v>
      </c>
    </row>
    <row r="2">
      <c r="A2" s="2" t="str">
        <v>Group</v>
      </c>
      <c r="B2" s="2" t="str">
        <v>Fitting Group</v>
      </c>
    </row>
    <row r="3" ht="30" customHeight="1">
      <c r="A3" s="2" t="str">
        <v>Edit pale-yellow cells only. Unit Rs, totals, and P90 values recalculate automatically in Microsoft Excel.</v>
      </c>
    </row>
    <row r="4"/>
    <row r="5" ht="32" customHeight="1">
      <c r="A5" s="55" t="str">
        <v>Item</v>
      </c>
      <c r="B5" s="55" t="str">
        <v>Size</v>
      </c>
      <c r="C5" s="55" t="str">
        <v>Rating / Thk</v>
      </c>
      <c r="D5" s="55" t="str">
        <v>Material</v>
      </c>
      <c r="E5" s="55" t="str">
        <v>Material Category</v>
      </c>
      <c r="F5" s="55" t="str">
        <v>Qty</v>
      </c>
      <c r="G5" s="55" t="str">
        <v>UOM</v>
      </c>
      <c r="H5" s="55" t="str">
        <v>Base Rate Rs</v>
      </c>
      <c r="I5" s="55" t="str">
        <v>Factor</v>
      </c>
      <c r="J5" s="55" t="str">
        <v>Unit Rs</v>
      </c>
      <c r="K5" s="55" t="str">
        <v>P90 Ratio</v>
      </c>
      <c r="L5" s="55" t="str">
        <v>Normal Total Rs</v>
      </c>
      <c r="M5" s="55" t="str">
        <v>P90 Total Rs</v>
      </c>
      <c r="N5" s="55" t="str">
        <v>Rate Status</v>
      </c>
      <c r="O5" s="55" t="str">
        <v>Source / Note</v>
      </c>
    </row>
    <row r="6">
      <c r="A6" s="57" t="str">
        <v>ELBOW 90D</v>
      </c>
      <c r="B6" s="57" t="str">
        <v>12"</v>
      </c>
      <c r="C6" s="57" t="str">
        <v>S80</v>
      </c>
      <c r="D6" s="57" t="str">
        <v>ASTM A234 GR.WPB</v>
      </c>
      <c r="E6" s="57" t="str">
        <v>Carbon Steel</v>
      </c>
      <c r="F6" s="58">
        <v>8</v>
      </c>
      <c r="G6" s="57" t="str">
        <v>Nos.</v>
      </c>
      <c r="H6" s="64">
        <v>5686.031055088575</v>
      </c>
      <c r="I6" s="60">
        <v>2.5</v>
      </c>
      <c r="J6" s="61">
        <f>IF(AND(ISNUMBER(H6),ISNUMBER(I6)),H6*I6,"Review")</f>
        <v>14215.077637721439</v>
      </c>
      <c r="K6" s="60">
        <v>1.5000000000000002</v>
      </c>
      <c r="L6" s="61">
        <f>IF(AND(ISNUMBER(F6),ISNUMBER(J6)),F6*J6,"Review")</f>
        <v>113720.62110177151</v>
      </c>
      <c r="M6" s="61">
        <f>IF(AND(ISNUMBER(L6),ISNUMBER(K6)),L6*K6,"Review")</f>
        <v>170580.93165265728</v>
      </c>
      <c r="N6" s="57" t="str">
        <v>Priced</v>
      </c>
      <c r="O6" s="57" t="str">
        <v>90 degree LR elbow weight basis: developed length = 2.356 x actual OD 323.90 mm = 0.763 m; elbow weight = 100.64 kg. Unit Rs = elbow weight x raw Rs 56.50/kg x elbow factor 2.50 x material factor 1.00. Material-specific raw rate is selected from the material library. | Demo_Piping BOM for 12-NG HEADER.xlsx</v>
      </c>
    </row>
    <row r="7">
      <c r="A7" s="57" t="str">
        <v>ELBOW 45D</v>
      </c>
      <c r="B7" s="57" t="str">
        <v>12"</v>
      </c>
      <c r="C7" s="57" t="str">
        <v>S80</v>
      </c>
      <c r="D7" s="57" t="str">
        <v>ASTM A234 GR.WPB</v>
      </c>
      <c r="E7" s="57" t="str">
        <v>Carbon Steel</v>
      </c>
      <c r="F7" s="60">
        <v>6</v>
      </c>
      <c r="G7" s="57" t="str">
        <v>Nos.</v>
      </c>
      <c r="H7" s="59">
        <v>3411.6186330531455</v>
      </c>
      <c r="I7" s="60">
        <v>2.5</v>
      </c>
      <c r="J7" s="61">
        <f>IF(AND(ISNUMBER(H7),ISNUMBER(I7)),H7*I7,"Review")</f>
        <v>8529.046582632864</v>
      </c>
      <c r="K7" s="60">
        <v>1.5</v>
      </c>
      <c r="L7" s="61">
        <f>IF(AND(ISNUMBER(F7),ISNUMBER(J7)),F7*J7,"Review")</f>
        <v>51174.27949579718</v>
      </c>
      <c r="M7" s="61">
        <f>IF(AND(ISNUMBER(L7),ISNUMBER(K7)),L7*K7,"Review")</f>
        <v>76761.41924369578</v>
      </c>
      <c r="N7" s="57" t="str">
        <v>Priced</v>
      </c>
      <c r="O7" s="57" t="str">
        <v>45 degree LR elbow weight basis: developed length = 1.178 x actual OD 323.90 mm = 0.382 m; elbow weight = 50.32 kg. Unit Rs = elbow weight x raw Rs 56.50/kg x elbow factor 2.50 x material factor 1.00. Material-specific raw rate is selected from the material library. | Demo_Piping BOM for 12-NG HEADER.xlsx</v>
      </c>
    </row>
    <row r="8">
      <c r="A8" s="57" t="str">
        <v>TEE EQUAL</v>
      </c>
      <c r="B8" s="57" t="str">
        <v>12"</v>
      </c>
      <c r="C8" s="57" t="str">
        <v>S80</v>
      </c>
      <c r="D8" s="57" t="str">
        <v>ASTM A234 GR.WPB</v>
      </c>
      <c r="E8" s="57" t="str">
        <v>Carbon Steel</v>
      </c>
      <c r="F8" s="60">
        <v>6</v>
      </c>
      <c r="G8" s="57" t="str">
        <v>Nos.</v>
      </c>
      <c r="H8" s="59">
        <v>4471.059333911014</v>
      </c>
      <c r="I8" s="60">
        <v>3.86</v>
      </c>
      <c r="J8" s="61">
        <f>IF(AND(ISNUMBER(H8),ISNUMBER(I8)),H8*I8,"Review")</f>
        <v>17258.289028896514</v>
      </c>
      <c r="K8" s="60">
        <v>1.5</v>
      </c>
      <c r="L8" s="61">
        <f>IF(AND(ISNUMBER(F8),ISNUMBER(J8)),F8*J8,"Review")</f>
        <v>103549.73417337908</v>
      </c>
      <c r="M8" s="61">
        <f>IF(AND(ISNUMBER(L8),ISNUMBER(K8)),L8*K8,"Review")</f>
        <v>155324.60126006862</v>
      </c>
      <c r="N8" s="57" t="str">
        <v>Priced</v>
      </c>
      <c r="O8" s="57" t="str">
        <v>Equal tee weight basis: L = 2C + M - 0.5 x OD = 2 x 254.0 mm + 254.0 mm - 0.5 x 323.9 mm = 0.600 m; tee weight = 79.13 kg. Unit Rs = tee weight x raw Rs 56.50/kg x tee factor 3.86 x material factor 1.00. Material-specific raw rate is selected from the material library. | Demo_Piping BOM for 12-NG HEADER.xlsx</v>
      </c>
    </row>
    <row r="9">
      <c r="A9" s="57" t="str">
        <v>ELBOW 90D</v>
      </c>
      <c r="B9" s="57" t="str">
        <v>2"</v>
      </c>
      <c r="C9" s="57" t="str">
        <v>XS</v>
      </c>
      <c r="D9" s="57" t="str">
        <v>ASTM A234 GR.WPB</v>
      </c>
      <c r="E9" s="57" t="str">
        <v>Carbon Steel</v>
      </c>
      <c r="F9" s="60">
        <v>5</v>
      </c>
      <c r="G9" s="57" t="str">
        <v>Nos.</v>
      </c>
      <c r="H9" s="59">
        <v>60.05286598472198</v>
      </c>
      <c r="I9" s="60">
        <v>5</v>
      </c>
      <c r="J9" s="61">
        <f>IF(AND(ISNUMBER(H9),ISNUMBER(I9)),H9*I9,"Review")</f>
        <v>300.2643299236099</v>
      </c>
      <c r="K9" s="60">
        <v>1.4999999999999998</v>
      </c>
      <c r="L9" s="61">
        <f>IF(AND(ISNUMBER(F9),ISNUMBER(J9)),F9*J9,"Review")</f>
        <v>1501.3216496180496</v>
      </c>
      <c r="M9" s="61">
        <f>IF(AND(ISNUMBER(L9),ISNUMBER(K9)),L9*K9,"Review")</f>
        <v>2251.982474427074</v>
      </c>
      <c r="N9" s="57" t="str">
        <v>Priced</v>
      </c>
      <c r="O9" s="57" t="str">
        <v>90 degree LR elbow weight basis: developed length = 2.356 x actual OD 60.30 mm = 0.142 m; elbow weight = 1.06 kg. Unit Rs = elbow weight x raw Rs 56.50/kg x elbow factor 5.00 x material factor 1.00. Material-specific raw rate is selected from the material library. | Demo_Piping BOM for 12-NG HEADER.xlsx</v>
      </c>
    </row>
    <row r="10">
      <c r="A10" s="57" t="str">
        <v>ELBOW 90D</v>
      </c>
      <c r="B10" s="57" t="str">
        <v>3/4"</v>
      </c>
      <c r="C10" s="57" t="str">
        <v>3000#</v>
      </c>
      <c r="D10" s="57" t="str">
        <v>ASTM A105</v>
      </c>
      <c r="E10" s="57" t="str">
        <v>Carbon Steel</v>
      </c>
      <c r="F10" s="60">
        <v>4</v>
      </c>
      <c r="G10" s="57" t="str">
        <v>Nos.</v>
      </c>
      <c r="H10" s="59">
        <v>294.01255042812005</v>
      </c>
      <c r="I10" s="60">
        <v>0.55</v>
      </c>
      <c r="J10" s="61">
        <f>IF(AND(ISNUMBER(H10),ISNUMBER(I10)),H10*I10,"Review")</f>
        <v>161.70690273546603</v>
      </c>
      <c r="K10" s="60">
        <v>1.5000000000000002</v>
      </c>
      <c r="L10" s="61">
        <f>IF(AND(ISNUMBER(F10),ISNUMBER(J10)),F10*J10,"Review")</f>
        <v>646.8276109418641</v>
      </c>
      <c r="M10" s="61">
        <f>IF(AND(ISNUMBER(L10),ISNUMBER(K10)),L10*K10,"Review")</f>
        <v>970.2414164127963</v>
      </c>
      <c r="N10" s="57" t="str">
        <v>Priced</v>
      </c>
      <c r="O10" s="57" t="str">
        <v>Component factor 0.55 x pressure multiplier 1.00 x material multiplier 1.00 x 1m equivalent pipe rate. | Demo_Piping BOM for 12-NG HEADER.xlsx</v>
      </c>
    </row>
    <row r="11">
      <c r="A11" s="57" t="str">
        <v>COUPLING HALF</v>
      </c>
      <c r="B11" s="57" t="str">
        <v>3/4"</v>
      </c>
      <c r="C11" s="57" t="str">
        <v>3000#</v>
      </c>
      <c r="D11" s="57" t="str">
        <v>ASTM A105</v>
      </c>
      <c r="E11" s="57" t="str">
        <v>Carbon Steel</v>
      </c>
      <c r="F11" s="60">
        <v>8</v>
      </c>
      <c r="G11" s="57" t="str">
        <v>Nos.</v>
      </c>
      <c r="H11" s="59">
        <v>294.01255042812005</v>
      </c>
      <c r="I11" s="60">
        <v>0.45</v>
      </c>
      <c r="J11" s="61">
        <f>IF(AND(ISNUMBER(H11),ISNUMBER(I11)),H11*I11,"Review")</f>
        <v>132.30564769265402</v>
      </c>
      <c r="K11" s="60">
        <v>1.5000000000000002</v>
      </c>
      <c r="L11" s="61">
        <f>IF(AND(ISNUMBER(F11),ISNUMBER(J11)),F11*J11,"Review")</f>
        <v>1058.4451815412322</v>
      </c>
      <c r="M11" s="61">
        <f>IF(AND(ISNUMBER(L11),ISNUMBER(K11)),L11*K11,"Review")</f>
        <v>1587.6677723118485</v>
      </c>
      <c r="N11" s="57" t="str">
        <v>Priced</v>
      </c>
      <c r="O11" s="57" t="str">
        <v>Component factor 0.45 x pressure multiplier 1.00 x material multiplier 1.00 x 1m equivalent pipe rate. | Demo_Piping BOM for 12-NG HEADER.xlsx</v>
      </c>
    </row>
    <row r="14">
      <c r="A14" s="63" t="str">
        <v>Group total</v>
      </c>
      <c r="L14" s="61">
        <f>SUM(L6:L12)</f>
        <v>271651.2292130488</v>
      </c>
      <c r="M14" s="61">
        <f>SUM(M6:M12)</f>
        <v>407476.84381957346</v>
      </c>
    </row>
    <row r="16">
      <c r="A16" s="63" t="str">
        <v>Workbook note</v>
      </c>
      <c r="B16" s="57" t="str">
        <v>Base Rate Rs, Factor, Qty and P90 Ratio are editable. The app-calculated Unit Rs is represented as Base Rate x Factor so commercial changes flow into all totals.</v>
      </c>
    </row>
  </sheetData>
  <autoFilter ref="A5:O11"/>
  <mergeCells count="3">
    <mergeCell ref="A1:O1"/>
    <mergeCell ref="A3:O3"/>
    <mergeCell ref="B16:O16"/>
  </mergeCells>
  <ignoredErrors>
    <ignoredError numberStoredAsText="1" sqref="A1:O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26.83203125" customWidth="1"/>
    <col min="2" max="2" width="13.83203125" customWidth="1"/>
    <col min="3" max="3" width="17.83203125" customWidth="1"/>
    <col min="4" max="4" width="24.83203125" customWidth="1"/>
    <col min="5" max="5" width="25.83203125" customWidth="1"/>
    <col min="6" max="6" width="10.83203125" customWidth="1"/>
    <col min="7" max="7" width="10.83203125" customWidth="1"/>
    <col min="8" max="8" width="15.83203125" customWidth="1"/>
    <col min="9" max="9" width="11.83203125" customWidth="1"/>
    <col min="10" max="10" width="14.83203125" customWidth="1"/>
    <col min="11" max="11" width="12.83203125" customWidth="1"/>
    <col min="12" max="12" width="18.83203125" customWidth="1"/>
    <col min="13" max="13" width="17.83203125" customWidth="1"/>
    <col min="14" max="14" width="13.83203125" customWidth="1"/>
    <col min="15" max="15" width="48.83203125" customWidth="1"/>
  </cols>
  <sheetData>
    <row r="1" ht="24" customHeight="1">
      <c r="A1" s="54" t="str">
        <v>Piping Material &amp; Service Cost Estimator - Editable Component Cost Sheet</v>
      </c>
    </row>
    <row r="2">
      <c r="A2" s="2" t="str">
        <v>Group</v>
      </c>
      <c r="B2" s="2" t="str">
        <v>Flange Group</v>
      </c>
    </row>
    <row r="3" ht="30" customHeight="1">
      <c r="A3" s="2" t="str">
        <v>Edit pale-yellow cells only. Unit Rs, totals, and P90 values recalculate automatically in Microsoft Excel.</v>
      </c>
    </row>
    <row r="4"/>
    <row r="5" ht="32" customHeight="1">
      <c r="A5" s="55" t="str">
        <v>Item</v>
      </c>
      <c r="B5" s="55" t="str">
        <v>Size</v>
      </c>
      <c r="C5" s="55" t="str">
        <v>Rating / Thk</v>
      </c>
      <c r="D5" s="55" t="str">
        <v>Material</v>
      </c>
      <c r="E5" s="55" t="str">
        <v>Material Category</v>
      </c>
      <c r="F5" s="55" t="str">
        <v>Qty</v>
      </c>
      <c r="G5" s="55" t="str">
        <v>UOM</v>
      </c>
      <c r="H5" s="55" t="str">
        <v>Base Rate Rs</v>
      </c>
      <c r="I5" s="55" t="str">
        <v>Factor</v>
      </c>
      <c r="J5" s="55" t="str">
        <v>Unit Rs</v>
      </c>
      <c r="K5" s="55" t="str">
        <v>P90 Ratio</v>
      </c>
      <c r="L5" s="55" t="str">
        <v>Normal Total Rs</v>
      </c>
      <c r="M5" s="55" t="str">
        <v>P90 Total Rs</v>
      </c>
      <c r="N5" s="55" t="str">
        <v>Rate Status</v>
      </c>
      <c r="O5" s="55" t="str">
        <v>Source / Note</v>
      </c>
    </row>
    <row r="6">
      <c r="A6" s="57" t="str">
        <v>FLANGE WN</v>
      </c>
      <c r="B6" s="57" t="str">
        <v>12"</v>
      </c>
      <c r="C6" s="57" t="str">
        <v>600#</v>
      </c>
      <c r="D6" s="57" t="str">
        <v>ASTM A105</v>
      </c>
      <c r="E6" s="57" t="str">
        <v>Carbon Steel</v>
      </c>
      <c r="F6" s="58">
        <v>14</v>
      </c>
      <c r="G6" s="57" t="str">
        <v>Nos.</v>
      </c>
      <c r="H6" s="64">
        <v>5819.5</v>
      </c>
      <c r="I6" s="58">
        <v>3.7</v>
      </c>
      <c r="J6" s="61">
        <f>IF(AND(ISNUMBER(H6),ISNUMBER(I6)),H6*I6,"Review")</f>
        <v>21532.15</v>
      </c>
      <c r="K6" s="58">
        <v>1.5000000000000002</v>
      </c>
      <c r="L6" s="61">
        <f>IF(AND(ISNUMBER(F6),ISNUMBER(J6)),F6*J6,"Review")</f>
        <v>301450.10000000003</v>
      </c>
      <c r="M6" s="61">
        <f>IF(AND(ISNUMBER(L6),ISNUMBER(K6)),L6*K6,"Review")</f>
        <v>452175.1500000001</v>
      </c>
      <c r="N6" s="57" t="str">
        <v>Priced</v>
      </c>
      <c r="O6" s="57" t="str">
        <v>Flange weight model: WNRF 600# 12", 103.00 kg from ANSI B16.5 built-in fallback (Built-in 600# fallback weight). Unit Rs = weight x raw Rs 56.50/kg x P50 multiplier 3.70 x material multiplier 1.00. Rating effect is included in flange weight; no extra flange pressure multiplier is applied. | Demo_Piping BOM for 12-NG HEADER.xlsx</v>
      </c>
    </row>
    <row r="7">
      <c r="A7" s="57" t="str">
        <v>BLIND FLANGE</v>
      </c>
      <c r="B7" s="57" t="str">
        <v>12"</v>
      </c>
      <c r="C7" s="57" t="str">
        <v>600#</v>
      </c>
      <c r="D7" s="57" t="str">
        <v>ASTM A105</v>
      </c>
      <c r="E7" s="57" t="str">
        <v>Carbon Steel</v>
      </c>
      <c r="F7" s="58">
        <v>4</v>
      </c>
      <c r="G7" s="57" t="str">
        <v>Nos.</v>
      </c>
      <c r="H7" s="64">
        <v>7005.999999999999</v>
      </c>
      <c r="I7" s="58">
        <v>2.9</v>
      </c>
      <c r="J7" s="61">
        <f>IF(AND(ISNUMBER(H7),ISNUMBER(I7)),H7*I7,"Review")</f>
        <v>20317.399999999998</v>
      </c>
      <c r="K7" s="58">
        <v>1.5000000000000002</v>
      </c>
      <c r="L7" s="61">
        <f>IF(AND(ISNUMBER(F7),ISNUMBER(J7)),F7*J7,"Review")</f>
        <v>81269.59999999999</v>
      </c>
      <c r="M7" s="61">
        <f>IF(AND(ISNUMBER(L7),ISNUMBER(K7)),L7*K7,"Review")</f>
        <v>121904.40000000001</v>
      </c>
      <c r="N7" s="57" t="str">
        <v>Priced</v>
      </c>
      <c r="O7" s="57" t="str">
        <v>Flange weight model: BLRF 600# 12", 124.00 kg from ANSI B16.5 built-in fallback (Built-in 600# fallback weight). Unit Rs = weight x raw Rs 56.50/kg x P50 multiplier 2.90 x material multiplier 1.00. Rating effect is included in flange weight; no extra flange pressure multiplier is applied. | Demo_Piping BOM for 12-NG HEADER.xlsx</v>
      </c>
    </row>
    <row r="8">
      <c r="A8" s="57" t="str">
        <v>SPACER &amp; BLIND</v>
      </c>
      <c r="B8" s="57" t="str">
        <v>12"</v>
      </c>
      <c r="C8" s="57" t="str">
        <v>600#</v>
      </c>
      <c r="D8" s="57" t="str">
        <v>ASTM A105</v>
      </c>
      <c r="E8" s="57" t="str">
        <v>Carbon Steel</v>
      </c>
      <c r="F8" s="58">
        <v>7</v>
      </c>
      <c r="G8" s="57" t="str">
        <v>Nos.</v>
      </c>
      <c r="H8" s="64">
        <v>7005.999999999999</v>
      </c>
      <c r="I8" s="58">
        <v>2.9</v>
      </c>
      <c r="J8" s="61">
        <f>IF(AND(ISNUMBER(H8),ISNUMBER(I8)),H8*I8,"Review")</f>
        <v>20317.399999999998</v>
      </c>
      <c r="K8" s="58">
        <v>1.5000000000000002</v>
      </c>
      <c r="L8" s="61">
        <f>IF(AND(ISNUMBER(F8),ISNUMBER(J8)),F8*J8,"Review")</f>
        <v>142221.8</v>
      </c>
      <c r="M8" s="61">
        <f>IF(AND(ISNUMBER(L8),ISNUMBER(K8)),L8*K8,"Review")</f>
        <v>213332.7</v>
      </c>
      <c r="N8" s="57" t="str">
        <v>Priced</v>
      </c>
      <c r="O8" s="57" t="str">
        <v>Flange weight model: BLRF 600# 12", 124.00 kg from ANSI B16.5 built-in fallback (Built-in 600# fallback weight). Unit Rs = weight x raw Rs 56.50/kg x P50 multiplier 2.90 x material multiplier 1.00. Rating effect is included in flange weight; no extra flange pressure multiplier is applied. | Demo_Piping BOM for 12-NG HEADER.xlsx</v>
      </c>
    </row>
    <row r="9">
      <c r="A9" s="57" t="str">
        <v>FLANGE SW</v>
      </c>
      <c r="B9" s="57" t="str">
        <v>3/4"</v>
      </c>
      <c r="C9" s="57" t="str">
        <v>600#</v>
      </c>
      <c r="D9" s="57" t="str">
        <v>ASTM A105</v>
      </c>
      <c r="E9" s="57" t="str">
        <v>Carbon Steel</v>
      </c>
      <c r="F9" s="58">
        <v>8</v>
      </c>
      <c r="G9" s="57" t="str">
        <v>Nos.</v>
      </c>
      <c r="H9" s="64">
        <v>81.925</v>
      </c>
      <c r="I9" s="58">
        <v>3.7</v>
      </c>
      <c r="J9" s="61">
        <f>IF(AND(ISNUMBER(H9),ISNUMBER(I9)),H9*I9,"Review")</f>
        <v>303.1225</v>
      </c>
      <c r="K9" s="58">
        <v>1.5</v>
      </c>
      <c r="L9" s="61">
        <f>IF(AND(ISNUMBER(F9),ISNUMBER(J9)),F9*J9,"Review")</f>
        <v>2424.98</v>
      </c>
      <c r="M9" s="61">
        <f>IF(AND(ISNUMBER(L9),ISNUMBER(K9)),L9*K9,"Review")</f>
        <v>3637.4700000000003</v>
      </c>
      <c r="N9" s="57" t="str">
        <v>Priced</v>
      </c>
      <c r="O9" s="57" t="str">
        <v>Flange weight model: WNRF 600# 0.75", 1.45 kg from ANSI B16.5 built-in fallback (Built-in 600# fallback weight). Fallback applied: Flange type not clear; WN fallback used. Unit Rs = weight x raw Rs 56.50/kg x P50 multiplier 3.70 x material multiplier 1.00. Rating effect is included in flange weight; no extra flange pressure multiplier is applied. | Demo_Piping BOM for 12-NG HEADER.xlsx</v>
      </c>
    </row>
    <row r="10">
      <c r="A10" s="57" t="str">
        <v>BLIND FLANGE</v>
      </c>
      <c r="B10" s="57" t="str">
        <v>3/4"</v>
      </c>
      <c r="C10" s="57" t="str">
        <v>600#</v>
      </c>
      <c r="D10" s="57" t="str">
        <v>ASTM A105</v>
      </c>
      <c r="E10" s="57" t="str">
        <v>Carbon Steel</v>
      </c>
      <c r="F10" s="58">
        <v>8</v>
      </c>
      <c r="G10" s="57" t="str">
        <v>Nos.</v>
      </c>
      <c r="H10" s="64">
        <v>72.32000000000001</v>
      </c>
      <c r="I10" s="58">
        <v>2.9</v>
      </c>
      <c r="J10" s="61">
        <f>IF(AND(ISNUMBER(H10),ISNUMBER(I10)),H10*I10,"Review")</f>
        <v>209.728</v>
      </c>
      <c r="K10" s="58">
        <v>1.4999999999999998</v>
      </c>
      <c r="L10" s="61">
        <f>IF(AND(ISNUMBER(F10),ISNUMBER(J10)),F10*J10,"Review")</f>
        <v>1677.824</v>
      </c>
      <c r="M10" s="61">
        <f>IF(AND(ISNUMBER(L10),ISNUMBER(K10)),L10*K10,"Review")</f>
        <v>2516.736</v>
      </c>
      <c r="N10" s="57" t="str">
        <v>Priced</v>
      </c>
      <c r="O10" s="57" t="str">
        <v>Flange weight model: BLRF 600# 0.75", 1.28 kg from ANSI B16.5 built-in fallback (Built-in 600# fallback weight). Unit Rs = weight x raw Rs 56.50/kg x P50 multiplier 2.90 x material multiplier 1.00. Rating effect is included in flange weight; no extra flange pressure multiplier is applied. | Demo_Piping BOM for 12-NG HEADER.xlsx</v>
      </c>
    </row>
    <row r="13">
      <c r="A13" s="63" t="str">
        <v>Group total</v>
      </c>
      <c r="L13" s="61">
        <f>SUM(L6:L11)</f>
        <v>529044.304</v>
      </c>
      <c r="M13" s="61">
        <f>SUM(M6:M11)</f>
        <v>793566.456</v>
      </c>
    </row>
    <row r="15">
      <c r="A15" s="63" t="str">
        <v>Workbook note</v>
      </c>
      <c r="B15" s="57" t="str">
        <v>Base Rate Rs, Factor, Qty and P90 Ratio are editable. The app-calculated Unit Rs is represented as Base Rate x Factor so commercial changes flow into all totals.</v>
      </c>
    </row>
  </sheetData>
  <autoFilter ref="A5:O10"/>
  <mergeCells count="3">
    <mergeCell ref="A1:O1"/>
    <mergeCell ref="A3:O3"/>
    <mergeCell ref="B15:O15"/>
  </mergeCells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26.83203125" customWidth="1"/>
    <col min="2" max="2" width="13.83203125" customWidth="1"/>
    <col min="3" max="3" width="17.83203125" customWidth="1"/>
    <col min="4" max="4" width="24.83203125" customWidth="1"/>
    <col min="5" max="5" width="25.83203125" customWidth="1"/>
    <col min="6" max="6" width="10.83203125" customWidth="1"/>
    <col min="7" max="7" width="10.83203125" customWidth="1"/>
    <col min="8" max="8" width="15.83203125" customWidth="1"/>
    <col min="9" max="9" width="11.83203125" customWidth="1"/>
    <col min="10" max="10" width="14.83203125" customWidth="1"/>
    <col min="11" max="11" width="12.83203125" customWidth="1"/>
    <col min="12" max="12" width="18.83203125" customWidth="1"/>
    <col min="13" max="13" width="17.83203125" customWidth="1"/>
    <col min="14" max="14" width="13.83203125" customWidth="1"/>
    <col min="15" max="15" width="48.83203125" customWidth="1"/>
  </cols>
  <sheetData>
    <row r="1" ht="24" customHeight="1">
      <c r="A1" s="54" t="str">
        <v>Piping Material &amp; Service Cost Estimator - Editable Component Cost Sheet</v>
      </c>
    </row>
    <row r="2">
      <c r="A2" s="2" t="str">
        <v>Group</v>
      </c>
      <c r="B2" s="2" t="str">
        <v>Valves Group</v>
      </c>
    </row>
    <row r="3" ht="30" customHeight="1">
      <c r="A3" s="2" t="str">
        <v>Edit pale-yellow cells only. Unit Rs, totals, and P90 values recalculate automatically in Microsoft Excel.</v>
      </c>
    </row>
    <row r="4"/>
    <row r="5" ht="32" customHeight="1">
      <c r="A5" s="55" t="str">
        <v>Item</v>
      </c>
      <c r="B5" s="55" t="str">
        <v>Size</v>
      </c>
      <c r="C5" s="55" t="str">
        <v>Rating / Thk</v>
      </c>
      <c r="D5" s="55" t="str">
        <v>Material</v>
      </c>
      <c r="E5" s="55" t="str">
        <v>Material Category</v>
      </c>
      <c r="F5" s="55" t="str">
        <v>Qty</v>
      </c>
      <c r="G5" s="55" t="str">
        <v>UOM</v>
      </c>
      <c r="H5" s="55" t="str">
        <v>Base Rate Rs</v>
      </c>
      <c r="I5" s="55" t="str">
        <v>Factor</v>
      </c>
      <c r="J5" s="55" t="str">
        <v>Unit Rs</v>
      </c>
      <c r="K5" s="55" t="str">
        <v>P90 Ratio</v>
      </c>
      <c r="L5" s="55" t="str">
        <v>Normal Total Rs</v>
      </c>
      <c r="M5" s="55" t="str">
        <v>P90 Total Rs</v>
      </c>
      <c r="N5" s="55" t="str">
        <v>Rate Status</v>
      </c>
      <c r="O5" s="55" t="str">
        <v>Source / Note</v>
      </c>
    </row>
    <row r="6" xml:space="preserve">
      <c r="A6" s="57" t="str">
        <v>BALL VALVE</v>
      </c>
      <c r="B6" s="57" t="str">
        <v>12"</v>
      </c>
      <c r="C6" s="57" t="str">
        <v>600#</v>
      </c>
      <c r="D6" s="57" t="str" xml:space="preserve">
        <v xml:space="preserve">BODY-ASTM A 105/A_x000d_
216GR.WCB,TRIM-SEAT-RPTFE</v>
      </c>
      <c r="E6" s="57" t="str">
        <v>Carbon Steel</v>
      </c>
      <c r="F6" s="58">
        <v>7</v>
      </c>
      <c r="G6" s="57" t="str">
        <v>Nos.</v>
      </c>
      <c r="H6" s="64">
        <v>78756.48000000003</v>
      </c>
      <c r="I6" s="58">
        <v>3.7</v>
      </c>
      <c r="J6" s="61">
        <f>IF(AND(ISNUMBER(H6),ISNUMBER(I6)),H6*I6,"Review")</f>
        <v>291398.9760000001</v>
      </c>
      <c r="K6" s="58">
        <v>1.5</v>
      </c>
      <c r="L6" s="61">
        <f>IF(AND(ISNUMBER(F6),ISNUMBER(J6)),F6*J6,"Review")</f>
        <v>2039792.8320000006</v>
      </c>
      <c r="M6" s="61">
        <f>IF(AND(ISNUMBER(L6),ISNUMBER(K6)),L6*K6,"Review")</f>
        <v>3059689.248000001</v>
      </c>
      <c r="N6" s="57" t="str">
        <v>Priced</v>
      </c>
      <c r="O6" s="57" t="str">
        <v>Valve table: W 288.00 kg basis x raw Rs 56.50/kg x conversion 3.70 x valve ratio 1.10 x pressure multiplier 4.40 x material multiplier 1.00. | Demo_Piping BOM for 12-NG HEADER.xlsx</v>
      </c>
    </row>
    <row r="7" xml:space="preserve">
      <c r="A7" s="57" t="str">
        <v>BALL VALVE</v>
      </c>
      <c r="B7" s="57" t="str">
        <v>3/4"</v>
      </c>
      <c r="C7" s="57" t="str">
        <v>600#</v>
      </c>
      <c r="D7" s="57" t="str" xml:space="preserve">
        <v xml:space="preserve">BODY-ASTM A 105/A_x000d_
216GR.WCB,TRIM-SEAT-RPTFE</v>
      </c>
      <c r="E7" s="57" t="str">
        <v>Carbon Steel</v>
      </c>
      <c r="F7" s="58">
        <v>8</v>
      </c>
      <c r="G7" s="57" t="str">
        <v>Nos.</v>
      </c>
      <c r="H7" s="64">
        <v>2795.5150501623766</v>
      </c>
      <c r="I7" s="58">
        <v>4.2</v>
      </c>
      <c r="J7" s="61">
        <f>IF(AND(ISNUMBER(H7),ISNUMBER(I7)),H7*I7,"Review")</f>
        <v>11741.163210681982</v>
      </c>
      <c r="K7" s="58">
        <v>1.5</v>
      </c>
      <c r="L7" s="61">
        <f>IF(AND(ISNUMBER(F7),ISNUMBER(J7)),F7*J7,"Review")</f>
        <v>93929.30568545585</v>
      </c>
      <c r="M7" s="61">
        <f>IF(AND(ISNUMBER(L7),ISNUMBER(K7)),L7*K7,"Review")</f>
        <v>140893.95852818378</v>
      </c>
      <c r="N7" s="57" t="str">
        <v>Priced</v>
      </c>
      <c r="O7" s="57" t="str">
        <v>Valve table: W 10.22 kg basis x raw Rs 56.50/kg x conversion 4.20 x valve ratio 1.10 x pressure multiplier 4.40 x material multiplier 1.00. | Demo_Piping BOM for 12-NG HEADER.xlsx</v>
      </c>
    </row>
    <row r="10">
      <c r="A10" s="63" t="str">
        <v>Group total</v>
      </c>
      <c r="L10" s="61">
        <f>SUM(L6:L8)</f>
        <v>2133722.1376854563</v>
      </c>
      <c r="M10" s="61">
        <f>SUM(M6:M8)</f>
        <v>3200583.206528185</v>
      </c>
    </row>
    <row r="12">
      <c r="A12" s="63" t="str">
        <v>Workbook note</v>
      </c>
      <c r="B12" s="57" t="str">
        <v>Base Rate Rs, Factor, Qty and P90 Ratio are editable. The app-calculated Unit Rs is represented as Base Rate x Factor so commercial changes flow into all totals.</v>
      </c>
    </row>
  </sheetData>
  <autoFilter ref="A5:O7"/>
  <mergeCells count="3">
    <mergeCell ref="A1:O1"/>
    <mergeCell ref="A3:O3"/>
    <mergeCell ref="B12:O12"/>
  </mergeCells>
  <ignoredErrors>
    <ignoredError numberStoredAsText="1" sqref="A1:O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26.83203125" customWidth="1"/>
    <col min="2" max="2" width="13.83203125" customWidth="1"/>
    <col min="3" max="3" width="17.83203125" customWidth="1"/>
    <col min="4" max="4" width="24.83203125" customWidth="1"/>
    <col min="5" max="5" width="25.83203125" customWidth="1"/>
    <col min="6" max="6" width="10.83203125" customWidth="1"/>
    <col min="7" max="7" width="10.83203125" customWidth="1"/>
    <col min="8" max="8" width="15.83203125" customWidth="1"/>
    <col min="9" max="9" width="11.83203125" customWidth="1"/>
    <col min="10" max="10" width="14.83203125" customWidth="1"/>
    <col min="11" max="11" width="12.83203125" customWidth="1"/>
    <col min="12" max="12" width="18.83203125" customWidth="1"/>
    <col min="13" max="13" width="17.83203125" customWidth="1"/>
    <col min="14" max="14" width="13.83203125" customWidth="1"/>
    <col min="15" max="15" width="48.83203125" customWidth="1"/>
  </cols>
  <sheetData>
    <row r="1" ht="24" customHeight="1">
      <c r="A1" s="54" t="str">
        <v>Piping Material &amp; Service Cost Estimator - Editable Component Cost Sheet</v>
      </c>
    </row>
    <row r="2">
      <c r="A2" s="2" t="str">
        <v>Group</v>
      </c>
      <c r="B2" s="2" t="str">
        <v>Bolt Group</v>
      </c>
    </row>
    <row r="3" ht="30" customHeight="1">
      <c r="A3" s="2" t="str">
        <v>Edit pale-yellow cells only. Unit Rs, totals, and P90 values recalculate automatically in Microsoft Excel.</v>
      </c>
    </row>
    <row r="4"/>
    <row r="5" ht="32" customHeight="1">
      <c r="A5" s="55" t="str">
        <v>Item</v>
      </c>
      <c r="B5" s="55" t="str">
        <v>Size</v>
      </c>
      <c r="C5" s="55" t="str">
        <v>Rating / Thk</v>
      </c>
      <c r="D5" s="55" t="str">
        <v>Material</v>
      </c>
      <c r="E5" s="55" t="str">
        <v>Material Category</v>
      </c>
      <c r="F5" s="55" t="str">
        <v>Qty</v>
      </c>
      <c r="G5" s="55" t="str">
        <v>UOM</v>
      </c>
      <c r="H5" s="55" t="str">
        <v>Base Rate Rs</v>
      </c>
      <c r="I5" s="55" t="str">
        <v>Factor</v>
      </c>
      <c r="J5" s="55" t="str">
        <v>Unit Rs</v>
      </c>
      <c r="K5" s="55" t="str">
        <v>P90 Ratio</v>
      </c>
      <c r="L5" s="55" t="str">
        <v>Normal Total Rs</v>
      </c>
      <c r="M5" s="55" t="str">
        <v>P90 Total Rs</v>
      </c>
      <c r="N5" s="55" t="str">
        <v>Rate Status</v>
      </c>
      <c r="O5" s="55" t="str">
        <v>Source / Note</v>
      </c>
    </row>
    <row r="6">
      <c r="A6" s="57" t="str">
        <v>STUDS &amp; NUTS</v>
      </c>
      <c r="B6" s="57" t="str">
        <v>M33x240</v>
      </c>
      <c r="D6" s="57" t="str">
        <v>A193 GR. B7 &amp; A194 GR.2H</v>
      </c>
      <c r="E6" s="57" t="str">
        <v>Unclassified</v>
      </c>
      <c r="F6" s="58">
        <v>280</v>
      </c>
      <c r="G6" s="57" t="str">
        <v>Nos.</v>
      </c>
      <c r="H6" s="64">
        <v>132.11236582557896</v>
      </c>
      <c r="I6" s="58">
        <v>2.5</v>
      </c>
      <c r="J6" s="61">
        <f>IF(AND(ISNUMBER(H6),ISNUMBER(I6)),H6*I6,"Review")</f>
        <v>330.2809145639474</v>
      </c>
      <c r="K6" s="58">
        <v>1.5</v>
      </c>
      <c r="L6" s="61">
        <f>IF(AND(ISNUMBER(F6),ISNUMBER(J6)),F6*J6,"Review")</f>
        <v>92478.65607790528</v>
      </c>
      <c r="M6" s="61">
        <f>IF(AND(ISNUMBER(L6),ISNUMBER(K6)),L6*K6,"Review")</f>
        <v>138717.98411685793</v>
      </c>
      <c r="N6" s="57" t="str">
        <v>Priced</v>
      </c>
      <c r="O6" s="57" t="str">
        <v>Metric complete set: stud 1.397 kg + 2 heavy hex nuts x 0.471 kg = 2.338 kg/set. Raw Rs 56.50/kg x commercial raw-to-finished factor 2.50. Calculated mass excludes washers, coatings, chamfers and manufacturing tolerances. | Demo_Piping BOM for 12-NG HEADER.xlsx</v>
      </c>
    </row>
    <row r="7">
      <c r="A7" s="57" t="str">
        <v>STUDS &amp; NUTS</v>
      </c>
      <c r="B7" s="57" t="str">
        <v>M33x350</v>
      </c>
      <c r="D7" s="57" t="str">
        <v>A193 GR. B7 &amp; A194 GR.2H</v>
      </c>
      <c r="E7" s="57" t="str">
        <v>Unclassified</v>
      </c>
      <c r="F7" s="58">
        <v>140</v>
      </c>
      <c r="G7" s="57" t="str">
        <v>Nos.</v>
      </c>
      <c r="H7" s="64">
        <v>168.28932377509975</v>
      </c>
      <c r="I7" s="58">
        <v>2.5</v>
      </c>
      <c r="J7" s="61">
        <f>IF(AND(ISNUMBER(H7),ISNUMBER(I7)),H7*I7,"Review")</f>
        <v>420.7233094377494</v>
      </c>
      <c r="K7" s="58">
        <v>1.5</v>
      </c>
      <c r="L7" s="61">
        <f>IF(AND(ISNUMBER(F7),ISNUMBER(J7)),F7*J7,"Review")</f>
        <v>58901.26332128491</v>
      </c>
      <c r="M7" s="61">
        <f>IF(AND(ISNUMBER(L7),ISNUMBER(K7)),L7*K7,"Review")</f>
        <v>88351.89498192737</v>
      </c>
      <c r="N7" s="57" t="str">
        <v>Priced</v>
      </c>
      <c r="O7" s="57" t="str">
        <v>Metric complete set: stud 2.037 kg + 2 heavy hex nuts x 0.471 kg = 2.979 kg/set. Raw Rs 56.50/kg x commercial raw-to-finished factor 2.50. Calculated mass excludes washers, coatings, chamfers and manufacturing tolerances. | Demo_Piping BOM for 12-NG HEADER.xlsx</v>
      </c>
    </row>
    <row r="8">
      <c r="A8" s="57" t="str">
        <v>STUDS &amp; NUTS</v>
      </c>
      <c r="B8" s="57" t="str">
        <v>M16x100</v>
      </c>
      <c r="D8" s="57" t="str">
        <v>A193 GR. B7 &amp; A194 GR.2H</v>
      </c>
      <c r="E8" s="57" t="str">
        <v>Unclassified</v>
      </c>
      <c r="F8" s="58">
        <v>32</v>
      </c>
      <c r="G8" s="57" t="str">
        <v>Nos.</v>
      </c>
      <c r="H8" s="64">
        <v>14.17996744825686</v>
      </c>
      <c r="I8" s="58">
        <v>2.5</v>
      </c>
      <c r="J8" s="61">
        <f>IF(AND(ISNUMBER(H8),ISNUMBER(I8)),H8*I8,"Review")</f>
        <v>35.44991862064215</v>
      </c>
      <c r="K8" s="58">
        <v>1.5000000000000002</v>
      </c>
      <c r="L8" s="61">
        <f>IF(AND(ISNUMBER(F8),ISNUMBER(J8)),F8*J8,"Review")</f>
        <v>1134.3973958605488</v>
      </c>
      <c r="M8" s="61">
        <f>IF(AND(ISNUMBER(L8),ISNUMBER(K8)),L8*K8,"Review")</f>
        <v>1701.5960937908235</v>
      </c>
      <c r="N8" s="57" t="str">
        <v>Priced</v>
      </c>
      <c r="O8" s="57" t="str">
        <v>Metric complete set: stud 0.133 kg + 2 heavy hex nuts x 0.059 kg = 0.251 kg/set. Raw Rs 56.50/kg x commercial raw-to-finished factor 2.50. Calculated mass excludes washers, coatings, chamfers and manufacturing tolerances. | Demo_Piping BOM for 12-NG HEADER.xlsx</v>
      </c>
    </row>
    <row r="11">
      <c r="A11" s="63" t="str">
        <v>Group total</v>
      </c>
      <c r="L11" s="61">
        <f>SUM(L6:L9)</f>
        <v>152514.31679505075</v>
      </c>
      <c r="M11" s="61">
        <f>SUM(M6:M9)</f>
        <v>228771.4751925761</v>
      </c>
    </row>
    <row r="13">
      <c r="A13" s="63" t="str">
        <v>Workbook note</v>
      </c>
      <c r="B13" s="57" t="str">
        <v>Base Rate Rs, Factor, Qty and P90 Ratio are editable. The app-calculated Unit Rs is represented as Base Rate x Factor so commercial changes flow into all totals.</v>
      </c>
    </row>
  </sheetData>
  <autoFilter ref="A5:O8"/>
  <mergeCells count="3">
    <mergeCell ref="A1:O1"/>
    <mergeCell ref="A3:O3"/>
    <mergeCell ref="B13:O13"/>
  </mergeCells>
  <ignoredErrors>
    <ignoredError numberStoredAsText="1" sqref="A1:O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26.83203125" customWidth="1"/>
    <col min="2" max="2" width="13.83203125" customWidth="1"/>
    <col min="3" max="3" width="17.83203125" customWidth="1"/>
    <col min="4" max="4" width="24.83203125" customWidth="1"/>
    <col min="5" max="5" width="25.83203125" customWidth="1"/>
    <col min="6" max="6" width="10.83203125" customWidth="1"/>
    <col min="7" max="7" width="10.83203125" customWidth="1"/>
    <col min="8" max="8" width="15.83203125" customWidth="1"/>
    <col min="9" max="9" width="11.83203125" customWidth="1"/>
    <col min="10" max="10" width="14.83203125" customWidth="1"/>
    <col min="11" max="11" width="12.83203125" customWidth="1"/>
    <col min="12" max="12" width="18.83203125" customWidth="1"/>
    <col min="13" max="13" width="17.83203125" customWidth="1"/>
    <col min="14" max="14" width="13.83203125" customWidth="1"/>
    <col min="15" max="15" width="48.83203125" customWidth="1"/>
  </cols>
  <sheetData>
    <row r="1" ht="24" customHeight="1">
      <c r="A1" s="54" t="str">
        <v>Piping Material &amp; Service Cost Estimator - Editable Component Cost Sheet</v>
      </c>
    </row>
    <row r="2">
      <c r="A2" s="2" t="str">
        <v>Group</v>
      </c>
      <c r="B2" s="2" t="str">
        <v>Gasket Group</v>
      </c>
    </row>
    <row r="3" ht="30" customHeight="1">
      <c r="A3" s="2" t="str">
        <v>Edit pale-yellow cells only. Unit Rs, totals, and P90 values recalculate automatically in Microsoft Excel.</v>
      </c>
    </row>
    <row r="4"/>
    <row r="5" ht="32" customHeight="1">
      <c r="A5" s="55" t="str">
        <v>Item</v>
      </c>
      <c r="B5" s="55" t="str">
        <v>Size</v>
      </c>
      <c r="C5" s="55" t="str">
        <v>Rating / Thk</v>
      </c>
      <c r="D5" s="55" t="str">
        <v>Material</v>
      </c>
      <c r="E5" s="55" t="str">
        <v>Material Category</v>
      </c>
      <c r="F5" s="55" t="str">
        <v>Qty</v>
      </c>
      <c r="G5" s="55" t="str">
        <v>UOM</v>
      </c>
      <c r="H5" s="55" t="str">
        <v>Base Rate Rs</v>
      </c>
      <c r="I5" s="55" t="str">
        <v>Factor</v>
      </c>
      <c r="J5" s="55" t="str">
        <v>Unit Rs</v>
      </c>
      <c r="K5" s="55" t="str">
        <v>P90 Ratio</v>
      </c>
      <c r="L5" s="55" t="str">
        <v>Normal Total Rs</v>
      </c>
      <c r="M5" s="55" t="str">
        <v>P90 Total Rs</v>
      </c>
      <c r="N5" s="55" t="str">
        <v>Rate Status</v>
      </c>
      <c r="O5" s="55" t="str">
        <v>Source / Note</v>
      </c>
    </row>
    <row r="6">
      <c r="A6" s="57" t="str">
        <v>GASKET SPIRAL</v>
      </c>
      <c r="B6" s="57" t="str">
        <v>12"</v>
      </c>
      <c r="C6" s="57" t="str">
        <v>5MM</v>
      </c>
      <c r="D6" s="57" t="str">
        <v>SS304 SPR WND + CA FIL</v>
      </c>
      <c r="E6" s="57" t="str">
        <v>Unclassified</v>
      </c>
      <c r="F6" s="58">
        <v>30</v>
      </c>
      <c r="G6" s="57" t="str">
        <v>Nos.</v>
      </c>
      <c r="H6" s="64">
        <v>3999.124869975</v>
      </c>
      <c r="I6" s="58">
        <v>0.06</v>
      </c>
      <c r="J6" s="61">
        <f>IF(AND(ISNUMBER(H6),ISNUMBER(I6)),H6*I6,"Review")</f>
        <v>239.9474921985</v>
      </c>
      <c r="K6" s="58">
        <v>1.5</v>
      </c>
      <c r="L6" s="61">
        <f>IF(AND(ISNUMBER(F6),ISNUMBER(J6)),F6*J6,"Review")</f>
        <v>7198.424765954999</v>
      </c>
      <c r="M6" s="61">
        <f>IF(AND(ISNUMBER(L6),ISNUMBER(K6)),L6*K6,"Review")</f>
        <v>10797.6371489325</v>
      </c>
      <c r="N6" s="57" t="str">
        <v>Priced</v>
      </c>
      <c r="O6" s="57" t="str">
        <v>Component factor 0.06 x pressure multiplier 1.00 x material multiplier 1.00 x 1m equivalent pipe rate. | Demo_Piping BOM for 12-NG HEADER.xlsx</v>
      </c>
    </row>
    <row r="7">
      <c r="A7" s="57" t="str">
        <v>GASKET SPIRAL</v>
      </c>
      <c r="B7" s="57" t="str">
        <v>3/4"</v>
      </c>
      <c r="C7" s="57" t="str">
        <v>5MM</v>
      </c>
      <c r="D7" s="57" t="str">
        <v>SS304 SPR WND + CA FIL</v>
      </c>
      <c r="E7" s="57" t="str">
        <v>Unclassified</v>
      </c>
      <c r="F7" s="58">
        <v>16</v>
      </c>
      <c r="G7" s="57" t="str">
        <v>Nos.</v>
      </c>
      <c r="H7" s="64">
        <v>272.126088675</v>
      </c>
      <c r="I7" s="58">
        <v>0.06</v>
      </c>
      <c r="J7" s="61">
        <f>IF(AND(ISNUMBER(H7),ISNUMBER(I7)),H7*I7,"Review")</f>
        <v>16.3275653205</v>
      </c>
      <c r="K7" s="58">
        <v>1.5000000000000002</v>
      </c>
      <c r="L7" s="61">
        <f>IF(AND(ISNUMBER(F7),ISNUMBER(J7)),F7*J7,"Review")</f>
        <v>261.241045128</v>
      </c>
      <c r="M7" s="61">
        <f>IF(AND(ISNUMBER(L7),ISNUMBER(K7)),L7*K7,"Review")</f>
        <v>391.86156769200005</v>
      </c>
      <c r="N7" s="57" t="str">
        <v>Priced</v>
      </c>
      <c r="O7" s="57" t="str">
        <v>Component factor 0.06 x pressure multiplier 1.00 x material multiplier 1.00 x 1m equivalent pipe rate. | Demo_Piping BOM for 12-NG HEADER.xlsx</v>
      </c>
    </row>
    <row r="10">
      <c r="A10" s="63" t="str">
        <v>Group total</v>
      </c>
      <c r="L10" s="61">
        <f>SUM(L6:L8)</f>
        <v>7459.665811082999</v>
      </c>
      <c r="M10" s="61">
        <f>SUM(M6:M8)</f>
        <v>11189.4987166245</v>
      </c>
    </row>
    <row r="12">
      <c r="A12" s="63" t="str">
        <v>Workbook note</v>
      </c>
      <c r="B12" s="57" t="str">
        <v>Base Rate Rs, Factor, Qty and P90 Ratio are editable. The app-calculated Unit Rs is represented as Base Rate x Factor so commercial changes flow into all totals.</v>
      </c>
    </row>
  </sheetData>
  <autoFilter ref="A5:O7"/>
  <mergeCells count="3">
    <mergeCell ref="A1:O1"/>
    <mergeCell ref="A3:O3"/>
    <mergeCell ref="B12:O12"/>
  </mergeCells>
  <ignoredErrors>
    <ignoredError numberStoredAsText="1" sqref="A1:O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26.83203125" customWidth="1"/>
    <col min="2" max="2" width="13.83203125" customWidth="1"/>
    <col min="3" max="3" width="17.83203125" customWidth="1"/>
    <col min="4" max="4" width="24.83203125" customWidth="1"/>
    <col min="5" max="5" width="25.83203125" customWidth="1"/>
    <col min="6" max="6" width="10.83203125" customWidth="1"/>
    <col min="7" max="7" width="10.83203125" customWidth="1"/>
    <col min="8" max="8" width="15.83203125" customWidth="1"/>
    <col min="9" max="9" width="11.83203125" customWidth="1"/>
    <col min="10" max="10" width="14.83203125" customWidth="1"/>
    <col min="11" max="11" width="12.83203125" customWidth="1"/>
    <col min="12" max="12" width="18.83203125" customWidth="1"/>
    <col min="13" max="13" width="17.83203125" customWidth="1"/>
    <col min="14" max="14" width="13.83203125" customWidth="1"/>
    <col min="15" max="15" width="48.83203125" customWidth="1"/>
  </cols>
  <sheetData>
    <row r="1" ht="24" customHeight="1">
      <c r="A1" s="54" t="str">
        <v>Piping Material &amp; Service Cost Estimator - Editable Component Cost Sheet</v>
      </c>
    </row>
    <row r="2">
      <c r="A2" s="2" t="str">
        <v>Group</v>
      </c>
      <c r="B2" s="2" t="str">
        <v>Other Group</v>
      </c>
    </row>
    <row r="3" ht="30" customHeight="1">
      <c r="A3" s="2" t="str">
        <v>Edit pale-yellow cells only. Unit Rs, totals, and P90 values recalculate automatically in Microsoft Excel.</v>
      </c>
    </row>
    <row r="4"/>
    <row r="5" ht="32" customHeight="1">
      <c r="A5" s="55" t="str">
        <v>Item</v>
      </c>
      <c r="B5" s="55" t="str">
        <v>Size</v>
      </c>
      <c r="C5" s="55" t="str">
        <v>Rating / Thk</v>
      </c>
      <c r="D5" s="55" t="str">
        <v>Material</v>
      </c>
      <c r="E5" s="55" t="str">
        <v>Material Category</v>
      </c>
      <c r="F5" s="55" t="str">
        <v>Qty</v>
      </c>
      <c r="G5" s="55" t="str">
        <v>UOM</v>
      </c>
      <c r="H5" s="55" t="str">
        <v>Base Rate Rs</v>
      </c>
      <c r="I5" s="55" t="str">
        <v>Factor</v>
      </c>
      <c r="J5" s="55" t="str">
        <v>Unit Rs</v>
      </c>
      <c r="K5" s="55" t="str">
        <v>P90 Ratio</v>
      </c>
      <c r="L5" s="55" t="str">
        <v>Normal Total Rs</v>
      </c>
      <c r="M5" s="55" t="str">
        <v>P90 Total Rs</v>
      </c>
      <c r="N5" s="55" t="str">
        <v>Rate Status</v>
      </c>
      <c r="O5" s="55" t="str">
        <v>Source / Note</v>
      </c>
    </row>
    <row r="6">
      <c r="A6" s="57" t="str">
        <v>PRESSURE GAUGE WITH ACCESSORIES</v>
      </c>
      <c r="B6" s="57" t="str">
        <v>0-60KG/CM2</v>
      </c>
      <c r="C6" s="57" t="str">
        <v>AS PER MNF. STD.</v>
      </c>
      <c r="E6" s="57" t="str">
        <v>Unclassified</v>
      </c>
      <c r="F6" s="58">
        <v>1</v>
      </c>
      <c r="G6" s="57" t="str">
        <v>Nos.</v>
      </c>
      <c r="J6" s="65" t="str">
        <f>IF(AND(ISNUMBER(H6),ISNUMBER(I6)),H6*I6,"Review")</f>
        <v>Review</v>
      </c>
      <c r="L6" s="66" t="str">
        <f>IF(AND(ISNUMBER(F6),ISNUMBER(J6)),F6*J6,"Review")</f>
        <v>Review</v>
      </c>
      <c r="M6" s="66" t="str">
        <f>IF(AND(ISNUMBER(L6),ISNUMBER(K6)),L6*K6,"Review")</f>
        <v>Review</v>
      </c>
      <c r="N6" s="66" t="str">
        <v>Review</v>
      </c>
      <c r="O6" s="57" t="str">
        <v>Manual review required; no approved positive factor is available. | Demo_Piping BOM for 12-NG HEADER.xlsx</v>
      </c>
    </row>
    <row r="9">
      <c r="A9" s="63" t="str">
        <v>Group total</v>
      </c>
      <c r="L9" s="61">
        <f>SUM(L6:L7)</f>
        <v>0</v>
      </c>
      <c r="M9" s="61">
        <f>SUM(M6:M7)</f>
        <v>0</v>
      </c>
    </row>
    <row r="11">
      <c r="A11" s="63" t="str">
        <v>Workbook note</v>
      </c>
      <c r="B11" s="57" t="str">
        <v>Base Rate Rs, Factor, Qty and P90 Ratio are editable. The app-calculated Unit Rs is represented as Base Rate x Factor so commercial changes flow into all totals.</v>
      </c>
    </row>
  </sheetData>
  <autoFilter ref="A5:O6"/>
  <mergeCells count="3">
    <mergeCell ref="A1:O1"/>
    <mergeCell ref="A3:O3"/>
    <mergeCell ref="B11:O11"/>
  </mergeCells>
  <ignoredErrors>
    <ignoredError numberStoredAsText="1" sqref="A1:O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9.83203125" customWidth="1"/>
    <col min="2" max="2" width="34.83203125" customWidth="1"/>
    <col min="3" max="3" width="58.83203125" customWidth="1"/>
    <col min="4" max="4" width="9.83203125" customWidth="1"/>
    <col min="5" max="5" width="13.83203125" customWidth="1"/>
    <col min="6" max="6" width="15.83203125" customWidth="1"/>
    <col min="7" max="7" width="17.83203125" customWidth="1"/>
    <col min="8" max="8" width="44.83203125" customWidth="1"/>
    <col min="9" max="9" width="17.83203125" customWidth="1"/>
  </cols>
  <sheetData>
    <row r="1" ht="28" customHeight="1">
      <c r="A1" s="67" t="str">
        <v>Part B - Service Schedule-of-Rates Detail</v>
      </c>
    </row>
    <row r="2" ht="19" customHeight="1">
      <c r="A2" s="4" t="str">
        <v>Work-package quantity, rate, cost basis and review status</v>
      </c>
    </row>
    <row r="3" ht="24" customHeight="1">
      <c r="A3" s="68" t="str">
        <v>PROJECT / JOB DESCRIPTION</v>
      </c>
      <c r="B3" s="69" t="str">
        <v>Demo</v>
      </c>
      <c r="F3" s="70" t="str">
        <v>PROJECT NO. / MOC NO. / JOB NO.</v>
      </c>
      <c r="G3" s="69" t="str">
        <v>Demo No-0001-2026</v>
      </c>
    </row>
    <row r="4" ht="32" customHeight="1">
      <c r="A4" s="19" t="str">
        <v>SL. NO.</v>
      </c>
      <c r="B4" s="19" t="str">
        <v>SHORT DESCRIPTION</v>
      </c>
      <c r="C4" s="19" t="str">
        <v>JOB DESCRIPTION / ACTIVITIES</v>
      </c>
      <c r="D4" s="19" t="str">
        <v>UNIT</v>
      </c>
      <c r="E4" s="19" t="str">
        <v>QUANTITY</v>
      </c>
      <c r="F4" s="19" t="str">
        <v>RATE (Rs)</v>
      </c>
      <c r="G4" s="19" t="str">
        <v>AMOUNT (Rs)</v>
      </c>
      <c r="H4" s="19" t="str">
        <v>RATE SOURCE / NOTE</v>
      </c>
      <c r="I4" s="19" t="str">
        <v>STATUS</v>
      </c>
    </row>
    <row r="5">
      <c r="A5" s="69">
        <v>1</v>
      </c>
      <c r="B5" s="69" t="str">
        <v>Piping Spool Fabrication and Erection</v>
      </c>
      <c r="C5" s="69" t="str">
        <v>Fabrication, cutting, edge preparation, fit-up, welding, handling, transportation, erection, alignment, NDT, pressure testing or hydrostatic testing, flushing and reinstatement, as applicable.</v>
      </c>
      <c r="D5" s="69" t="str">
        <v>ID</v>
      </c>
      <c r="E5" s="69">
        <v>777.5</v>
      </c>
      <c r="F5" s="71">
        <v>2056.2032154340836</v>
      </c>
      <c r="G5" s="71">
        <v>1598698</v>
      </c>
      <c r="H5" s="69" t="str">
        <v>Approved material-category ID rate library</v>
      </c>
      <c r="I5" s="69" t="str">
        <v>Ready</v>
      </c>
    </row>
    <row r="6">
      <c r="A6" s="69">
        <v>2</v>
      </c>
      <c r="B6" s="69" t="str">
        <v>Installation of Pipe Fittings</v>
      </c>
      <c r="C6" s="69" t="str">
        <v>Cutting, fit-up, welding and installation of elbows, tees, reducers, caps, couplings and other piping fittings, including alignment, NDT and pressure testing or hydrostatic testing, as applicable.</v>
      </c>
      <c r="D6" s="69" t="str">
        <v>ID</v>
      </c>
      <c r="E6" s="69">
        <v>590</v>
      </c>
      <c r="F6" s="71">
        <v>1000.3389830508474</v>
      </c>
      <c r="G6" s="71">
        <v>590200</v>
      </c>
      <c r="H6" s="69" t="str">
        <v>Matching-pipe ID rate x fitting connection-end proxy</v>
      </c>
      <c r="I6" s="69" t="str">
        <v>Ready</v>
      </c>
    </row>
    <row r="7">
      <c r="A7" s="69">
        <v>3</v>
      </c>
      <c r="B7" s="69" t="str">
        <v>Installation of Flanges and Flanged Joints</v>
      </c>
      <c r="C7" s="69" t="str">
        <v>Fabrication, fit-up, welding and erection of flanges, including alignment, NDT, pressure testing, gasket installation, bolting, tightening and final box-up of flanged joints.</v>
      </c>
      <c r="D7" s="69" t="str">
        <v>ID</v>
      </c>
      <c r="E7" s="69">
        <v>312</v>
      </c>
      <c r="F7" s="71">
        <v>860</v>
      </c>
      <c r="G7" s="71">
        <v>268320</v>
      </c>
      <c r="H7" s="69" t="str">
        <v>Matching-pipe ID rate x 1 joint per flange</v>
      </c>
      <c r="I7" s="69" t="str">
        <v>Ready</v>
      </c>
    </row>
    <row r="8">
      <c r="A8" s="69">
        <v>4</v>
      </c>
      <c r="B8" s="69" t="str">
        <v>Erection of Pipes Other Than Fabricated Spools</v>
      </c>
      <c r="C8" s="69" t="str">
        <v>Handling, transportation, lifting, positioning, erection, alignment and securing of straight pipes or piping components supplied as loose items, excluding shop-fabricated or field-fabricated spools.</v>
      </c>
      <c r="D8" s="69" t="str">
        <v>IM</v>
      </c>
      <c r="E8" s="69">
        <v>2908.5</v>
      </c>
      <c r="F8" s="71">
        <v>596.1681279009799</v>
      </c>
      <c r="G8" s="71">
        <v>1733955</v>
      </c>
      <c r="H8" s="69" t="str">
        <v>Approved material-category IM rate library</v>
      </c>
      <c r="I8" s="69" t="str">
        <v>Ready</v>
      </c>
    </row>
    <row r="9">
      <c r="A9" s="69">
        <v>5</v>
      </c>
      <c r="B9" s="69" t="str">
        <v>Valve Installation</v>
      </c>
      <c r="C9" s="69" t="str">
        <v>Transportation, handling, lifting, positioning, erection and assembly of valves, including gasket installation, bolting, alignment, PMI, functional testing, pressure testing and final box-up, as applicable.</v>
      </c>
      <c r="D9" s="69" t="str">
        <v>kg</v>
      </c>
      <c r="E9" s="69">
        <v>2097.78205368719</v>
      </c>
      <c r="F9" s="71">
        <v>30.53</v>
      </c>
      <c r="G9" s="71">
        <v>64045.28609906991</v>
      </c>
      <c r="H9" s="69" t="str">
        <v>IOCL-ME-SOR: RTJ / non-RTJ valve kg rate</v>
      </c>
      <c r="I9" s="69" t="str">
        <v>Ready</v>
      </c>
    </row>
    <row r="10">
      <c r="A10" s="69">
        <v>6</v>
      </c>
      <c r="B10" s="69" t="str">
        <v>Piping Rework and Modification</v>
      </c>
      <c r="C10" s="69" t="str">
        <v>Dismantling, cutting, removal, re-routing, modification and reinstallation of existing piping, fittings, flanges, valves and supports, including edge preparation, fit-up, welding, NDT, PWHT, pressure testing, touch-up painting and reinstatement, as applicable.</v>
      </c>
      <c r="D10" s="69" t="str">
        <v>ID</v>
      </c>
      <c r="E10" s="69">
        <v>251.92499999999998</v>
      </c>
      <c r="F10" s="71">
        <v>1463.065197975588</v>
      </c>
      <c r="G10" s="71">
        <v>368582.7</v>
      </c>
      <c r="H10" s="69" t="str">
        <v>15.00% of eligible project welding ID and matched welding cost</v>
      </c>
      <c r="I10" s="69" t="str">
        <v>Ready</v>
      </c>
    </row>
    <row r="11">
      <c r="A11" s="69">
        <v>7</v>
      </c>
      <c r="B11" s="69" t="str">
        <v>Pipe Structural Support Works</v>
      </c>
      <c r="C11" s="69" t="str">
        <v>Supply, fabrication, cutting, drilling, welding, surface preparation, priming, transportation, erection, alignment and installation of structural steel pipe supports, including clamps, guides, shoes, brackets, stools and associated hardware.</v>
      </c>
      <c r="D11" s="69" t="str">
        <v>MT</v>
      </c>
      <c r="E11" s="69">
        <v>3.380726790108</v>
      </c>
      <c r="F11" s="71">
        <v>150000</v>
      </c>
      <c r="G11" s="71">
        <v>507109.0185162</v>
      </c>
      <c r="H11" s="69" t="str">
        <v>NRL LPP/WO adopted rate: Rs 1,50,000/MT</v>
      </c>
      <c r="I11" s="69" t="str">
        <v>Ready</v>
      </c>
    </row>
    <row r="12">
      <c r="A12" s="69">
        <v>8</v>
      </c>
      <c r="B12" s="69" t="str">
        <v>Civil Works for Pipe Supports</v>
      </c>
      <c r="C12" s="69" t="str">
        <v>Excavation, PCC, RCC, reinforcement, formwork, foundation construction, installation of anchor bolts or embedded plates, non-shrink grouting, curing, backfilling, compaction and disposal of surplus excavated material.</v>
      </c>
      <c r="D12" s="69" t="str">
        <v>Nos.</v>
      </c>
      <c r="E12" s="69">
        <v>50</v>
      </c>
      <c r="F12" s="71">
        <v>3276</v>
      </c>
      <c r="G12" s="71">
        <v>163800</v>
      </c>
      <c r="H12" s="69" t="str">
        <v>Inside Unit Battery Limit (30%) x 300 mm above-ground, size-based civil cost per support: 3 IN = Rs 6,000; 20 IN = Rs 17,000; 48 IN = Rs 26,000; linear interpolation and upward rounding to Rs 500.</v>
      </c>
      <c r="I12" s="69" t="str">
        <v>Ready</v>
      </c>
    </row>
    <row r="13">
      <c r="A13" s="69">
        <v>9</v>
      </c>
      <c r="B13" s="69" t="str">
        <v>Piping Painting and Identification Works</v>
      </c>
      <c r="C13" s="69" t="str">
        <v>Supply of all materials and execution of surface preparation, abrasive blasting, primer application, intermediate and finish coats, touch-up painting, colour coding, flow-direction marking and line identification, as per the approved painting specification.</v>
      </c>
      <c r="D13" s="69" t="str">
        <v>m2</v>
      </c>
      <c r="E13" s="69">
        <v>246.9913861066988</v>
      </c>
      <c r="F13" s="71">
        <v>1010</v>
      </c>
      <c r="G13" s="71">
        <v>249461.29996776578</v>
      </c>
      <c r="H13" s="69" t="str">
        <v>65C default uninsulated-piping P50 rate | 325 microns</v>
      </c>
      <c r="I13" s="69" t="str">
        <v>Ready</v>
      </c>
    </row>
    <row r="14">
      <c r="A14" s="69">
        <v>10</v>
      </c>
      <c r="B14" s="69" t="str">
        <v>Piping Insulation Works</v>
      </c>
      <c r="C14" s="69" t="str">
        <v>Supply and installation of insulation material, cladding, bands, fasteners, sealants and accessories, including surface preparation, joint sealing, weatherproofing and completion of insulation at fittings, valves, flanges and supports.</v>
      </c>
      <c r="D14" s="69" t="str">
        <v>m2</v>
      </c>
      <c r="E14" s="69" t="str">
        <v>-</v>
      </c>
      <c r="F14" s="69" t="str">
        <v>-</v>
      </c>
      <c r="G14" s="69" t="str">
        <v>-</v>
      </c>
      <c r="H14" s="69" t="str">
        <v>Insulation rate requires Design Temperature</v>
      </c>
      <c r="I14" s="69" t="str">
        <v>Not applicable</v>
      </c>
    </row>
    <row r="15">
      <c r="A15" s="69">
        <v>11</v>
      </c>
      <c r="B15" s="69" t="str">
        <v>Post-Weld Heat Treatment</v>
      </c>
      <c r="C15" s="69" t="str">
        <v>Carrying out PWHT of weld joints, including heating arrangement, thermocouple installation, controlled heating, soaking and cooling, temperature monitoring and chart recording, hardness testing and submission of PWHT reports, as applicable.</v>
      </c>
      <c r="D15" s="69" t="str">
        <v>ID</v>
      </c>
      <c r="E15" s="69">
        <v>768</v>
      </c>
      <c r="F15" s="71">
        <v>408</v>
      </c>
      <c r="G15" s="71">
        <v>313344</v>
      </c>
      <c r="H15" s="69" t="str">
        <v>NRL PWHT rule and material-category ID rate</v>
      </c>
      <c r="I15" s="69" t="str">
        <v>Ready</v>
      </c>
    </row>
    <row r="16">
      <c r="A16" s="72" t="str">
        <v>DIRECT SERVICE COST TOTAL</v>
      </c>
      <c r="G16" s="73">
        <f>SUM(G5:G15)</f>
        <v>5857515.304583036</v>
      </c>
      <c r="H16" s="74" t="str">
        <v>Taxes, escalation and contingency excluded</v>
      </c>
    </row>
    <row r="18">
      <c r="A18" s="70" t="str">
        <v>Approval note</v>
      </c>
      <c r="B18" s="69" t="str">
        <v>This Part B summary is generated from the detailed Piping Service Cost calculation sheet. Rows marked Review required need a confirmed rate or missing BOM information before management approval.</v>
      </c>
    </row>
  </sheetData>
  <autoFilter ref="A4:I15"/>
  <mergeCells count="7">
    <mergeCell ref="A1:I1"/>
    <mergeCell ref="A2:I2"/>
    <mergeCell ref="B3:E3"/>
    <mergeCell ref="G3:I3"/>
    <mergeCell ref="A16:F16"/>
    <mergeCell ref="H16:I16"/>
    <mergeCell ref="B18:I18"/>
  </mergeCells>
  <ignoredErrors>
    <ignoredError numberStoredAsText="1" sqref="A1:I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32"/>
  <sheetViews>
    <sheetView workbookViewId="0"/>
  </sheetViews>
  <cols>
    <col min="1" max="1" width="18.83203125" customWidth="1"/>
    <col min="2" max="2" width="11.83203125" customWidth="1"/>
    <col min="3" max="3" width="10.83203125" customWidth="1"/>
    <col min="4" max="4" width="26.83203125" customWidth="1"/>
    <col min="5" max="5" width="24.83203125" customWidth="1"/>
    <col min="6" max="6" width="11.83203125" customWidth="1"/>
    <col min="7" max="7" width="12.83203125" customWidth="1"/>
    <col min="8" max="8" width="12.83203125" customWidth="1"/>
    <col min="9" max="9" width="11.83203125" customWidth="1"/>
    <col min="10" max="10" width="18.83203125" customWidth="1"/>
    <col min="11" max="11" width="18.83203125" customWidth="1"/>
    <col min="12" max="12" width="16.83203125" customWidth="1"/>
    <col min="13" max="13" width="16.83203125" customWidth="1"/>
    <col min="14" max="14" width="13.83203125" customWidth="1"/>
    <col min="15" max="15" width="15.83203125" customWidth="1"/>
    <col min="16" max="16" width="18.83203125" customWidth="1"/>
    <col min="17" max="17" width="19.83203125" customWidth="1"/>
    <col min="18" max="18" width="48.83203125" customWidth="1"/>
  </cols>
  <sheetData>
    <row r="1" ht="27" customHeight="1">
      <c r="A1" s="67" t="str">
        <v>Piping Service Cost Estimate</v>
      </c>
    </row>
    <row r="2" ht="19" customHeight="1">
      <c r="A2" s="75" t="str">
        <v>Preliminary pipe, fitting and flange erection/welding plus valve weight-based service cost</v>
      </c>
    </row>
    <row r="3" ht="23" customHeight="1">
      <c r="A3" s="76" t="str">
        <v>PROJECT / JOB DESCRIPTION</v>
      </c>
      <c r="B3" s="69" t="str">
        <v>Demo</v>
      </c>
      <c r="G3" s="77" t="str">
        <v>PROJECT NO. / MOC NO. / JOB NO.</v>
      </c>
      <c r="H3" s="69" t="str">
        <v>Demo No-0001-2026</v>
      </c>
    </row>
    <row r="4" ht="23" customHeight="1">
      <c r="A4" s="77" t="str">
        <v>INSTALLATION LOCATION</v>
      </c>
      <c r="B4" s="69" t="str">
        <v>ABOVE GROUND</v>
      </c>
      <c r="D4" s="77" t="str">
        <v>REGULATORY CLASS</v>
      </c>
      <c r="E4" s="69" t="str">
        <v>NON-IBR</v>
      </c>
      <c r="G4" s="77" t="str">
        <v>STOCK-LENGTH PROXY</v>
      </c>
      <c r="H4" s="69" t="str">
        <v>Pipe: 6 m x 1.60, rounded up; fitting: connection ends; flange: 1 joint/No.; valve: calculated kg basis.</v>
      </c>
      <c r="K4" s="77" t="str">
        <v>DESIGN TEMPERATURE (C)</v>
      </c>
      <c r="L4" s="69" t="str">
        <v>Not specified</v>
      </c>
      <c r="N4" s="77" t="str">
        <v>PAINTING SCOPE</v>
      </c>
      <c r="O4" s="69" t="str">
        <v>Uninsulated CS/LTCS/AS piping</v>
      </c>
    </row>
    <row r="5"/>
    <row r="6" ht="29" customHeight="1">
      <c r="A6" s="19" t="str">
        <v>Component</v>
      </c>
      <c r="B6" s="19" t="str">
        <v>Size</v>
      </c>
      <c r="C6" s="19" t="str">
        <v>Thk mm</v>
      </c>
      <c r="D6" s="19" t="str">
        <v>BOM Material</v>
      </c>
      <c r="E6" s="19" t="str">
        <v>Material Category</v>
      </c>
      <c r="F6" s="19" t="str">
        <v>Length / Qty.</v>
      </c>
      <c r="G6" s="19" t="str">
        <v>Est. Joints</v>
      </c>
      <c r="H6" s="19" t="str">
        <v>Erection IM</v>
      </c>
      <c r="I6" s="19" t="str">
        <v>Welding ID</v>
      </c>
      <c r="J6" s="19" t="str">
        <v>Erection Rate Rs/IM</v>
      </c>
      <c r="K6" s="19" t="str">
        <v>Welding Rate Rs/ID</v>
      </c>
      <c r="L6" s="19" t="str">
        <v>Erection Cost</v>
      </c>
      <c r="M6" s="19" t="str">
        <v>Welding Cost</v>
      </c>
      <c r="N6" s="19" t="str">
        <v>Valve Wt kg</v>
      </c>
      <c r="O6" s="19" t="str">
        <v>Valve Rate Rs/kg</v>
      </c>
      <c r="P6" s="19" t="str">
        <v>Valve Service Cost</v>
      </c>
      <c r="Q6" s="19" t="str">
        <v>Direct Service Cost</v>
      </c>
      <c r="R6" s="19" t="str">
        <v>Status / Rate Source</v>
      </c>
    </row>
    <row r="7">
      <c r="A7" s="69" t="str">
        <v>PIPE SEAMLESS</v>
      </c>
      <c r="B7" s="69" t="str">
        <v>12 IN</v>
      </c>
      <c r="C7" s="69">
        <v>22</v>
      </c>
      <c r="D7" s="69" t="str">
        <v>ASTM A106 GR.B</v>
      </c>
      <c r="E7" s="69" t="str">
        <v>Carbon Steel</v>
      </c>
      <c r="F7" s="69">
        <v>240</v>
      </c>
      <c r="G7" s="69">
        <v>64</v>
      </c>
      <c r="H7" s="69">
        <v>2880</v>
      </c>
      <c r="I7" s="69">
        <v>768</v>
      </c>
      <c r="J7" s="71">
        <v>599</v>
      </c>
      <c r="K7" s="71">
        <v>2071</v>
      </c>
      <c r="L7" s="71">
        <v>1725120</v>
      </c>
      <c r="M7" s="71">
        <v>1590528</v>
      </c>
      <c r="N7" s="69" t="str">
        <v>-</v>
      </c>
      <c r="O7" s="71" t="str">
        <v>-</v>
      </c>
      <c r="P7" s="71" t="str">
        <v>-</v>
      </c>
      <c r="Q7" s="71">
        <v>3315648</v>
      </c>
      <c r="R7" s="69" t="str">
        <v>Carbon Steel | Derived in uploaded document | Derived in uploaded document</v>
      </c>
    </row>
    <row r="8">
      <c r="A8" s="69" t="str">
        <v>PIPE SEAMLESS</v>
      </c>
      <c r="B8" s="69" t="str">
        <v>2 IN</v>
      </c>
      <c r="C8" s="69">
        <v>5.54</v>
      </c>
      <c r="D8" s="69" t="str">
        <v>ASTM A106 GR.B</v>
      </c>
      <c r="E8" s="69" t="str">
        <v>Carbon Steel</v>
      </c>
      <c r="F8" s="69">
        <v>12</v>
      </c>
      <c r="G8" s="69">
        <v>4</v>
      </c>
      <c r="H8" s="69">
        <v>24</v>
      </c>
      <c r="I8" s="69">
        <v>8</v>
      </c>
      <c r="J8" s="71">
        <v>310</v>
      </c>
      <c r="K8" s="71">
        <v>860</v>
      </c>
      <c r="L8" s="71">
        <v>7440</v>
      </c>
      <c r="M8" s="71">
        <v>6880</v>
      </c>
      <c r="N8" s="69" t="str">
        <v>-</v>
      </c>
      <c r="O8" s="71" t="str">
        <v>-</v>
      </c>
      <c r="P8" s="71" t="str">
        <v>-</v>
      </c>
      <c r="Q8" s="71">
        <v>14320</v>
      </c>
      <c r="R8" s="69" t="str">
        <v>Carbon Steel | BPCL-Kochi | BPCL-Kochi</v>
      </c>
    </row>
    <row r="9">
      <c r="A9" s="69" t="str">
        <v>PIPE SEAMLESS</v>
      </c>
      <c r="B9" s="69" t="str">
        <v>3/4 IN</v>
      </c>
      <c r="C9" s="69">
        <v>3.91</v>
      </c>
      <c r="D9" s="69" t="str">
        <v>ASTM A106 GR.B</v>
      </c>
      <c r="E9" s="69" t="str">
        <v>Carbon Steel</v>
      </c>
      <c r="F9" s="69">
        <v>6</v>
      </c>
      <c r="G9" s="69">
        <v>2</v>
      </c>
      <c r="H9" s="69">
        <v>4.5</v>
      </c>
      <c r="I9" s="69">
        <v>1.5</v>
      </c>
      <c r="J9" s="71">
        <v>310</v>
      </c>
      <c r="K9" s="71">
        <v>860</v>
      </c>
      <c r="L9" s="71">
        <v>1395</v>
      </c>
      <c r="M9" s="71">
        <v>1290</v>
      </c>
      <c r="N9" s="69" t="str">
        <v>-</v>
      </c>
      <c r="O9" s="71" t="str">
        <v>-</v>
      </c>
      <c r="P9" s="71" t="str">
        <v>-</v>
      </c>
      <c r="Q9" s="71">
        <v>2685</v>
      </c>
      <c r="R9" s="69" t="str">
        <v>Carbon Steel | BPCL-Kochi | BPCL-Kochi</v>
      </c>
    </row>
    <row r="10">
      <c r="A10" s="69" t="str">
        <v>ELBOW 90D</v>
      </c>
      <c r="B10" s="69" t="str">
        <v>12 IN</v>
      </c>
      <c r="C10" s="69">
        <v>17.45</v>
      </c>
      <c r="D10" s="69" t="str">
        <v>ASTM A234 GR.WPB</v>
      </c>
      <c r="E10" s="69" t="str">
        <v>Carbon Steel</v>
      </c>
      <c r="F10" s="69">
        <v>8</v>
      </c>
      <c r="G10" s="69">
        <v>16</v>
      </c>
      <c r="H10" s="69">
        <v>0</v>
      </c>
      <c r="I10" s="69">
        <v>192</v>
      </c>
      <c r="J10" s="71">
        <v>0</v>
      </c>
      <c r="K10" s="71">
        <v>1010</v>
      </c>
      <c r="L10" s="71">
        <v>0</v>
      </c>
      <c r="M10" s="71">
        <v>193920</v>
      </c>
      <c r="N10" s="69" t="str">
        <v>-</v>
      </c>
      <c r="O10" s="71" t="str">
        <v>-</v>
      </c>
      <c r="P10" s="71" t="str">
        <v>-</v>
      </c>
      <c r="Q10" s="71">
        <v>193920</v>
      </c>
      <c r="R10" s="69" t="str">
        <v>Carbon Steel | BPCL-Kochi</v>
      </c>
    </row>
    <row r="11">
      <c r="A11" s="69" t="str">
        <v>ELBOW 45D</v>
      </c>
      <c r="B11" s="69" t="str">
        <v>12 IN</v>
      </c>
      <c r="C11" s="69">
        <v>17.45</v>
      </c>
      <c r="D11" s="69" t="str">
        <v>ASTM A234 GR.WPB</v>
      </c>
      <c r="E11" s="69" t="str">
        <v>Carbon Steel</v>
      </c>
      <c r="F11" s="69">
        <v>6</v>
      </c>
      <c r="G11" s="69">
        <v>12</v>
      </c>
      <c r="H11" s="69">
        <v>0</v>
      </c>
      <c r="I11" s="69">
        <v>144</v>
      </c>
      <c r="J11" s="71">
        <v>0</v>
      </c>
      <c r="K11" s="71">
        <v>1010</v>
      </c>
      <c r="L11" s="71">
        <v>0</v>
      </c>
      <c r="M11" s="71">
        <v>145440</v>
      </c>
      <c r="N11" s="69" t="str">
        <v>-</v>
      </c>
      <c r="O11" s="71" t="str">
        <v>-</v>
      </c>
      <c r="P11" s="71" t="str">
        <v>-</v>
      </c>
      <c r="Q11" s="71">
        <v>145440</v>
      </c>
      <c r="R11" s="69" t="str">
        <v>Carbon Steel | BPCL-Kochi</v>
      </c>
    </row>
    <row r="12">
      <c r="A12" s="69" t="str">
        <v>TEE EQUAL</v>
      </c>
      <c r="B12" s="69" t="str">
        <v>12 IN</v>
      </c>
      <c r="C12" s="69">
        <v>17.45</v>
      </c>
      <c r="D12" s="69" t="str">
        <v>ASTM A234 GR.WPB</v>
      </c>
      <c r="E12" s="69" t="str">
        <v>Carbon Steel</v>
      </c>
      <c r="F12" s="69">
        <v>6</v>
      </c>
      <c r="G12" s="69">
        <v>18</v>
      </c>
      <c r="H12" s="69">
        <v>0</v>
      </c>
      <c r="I12" s="69">
        <v>216</v>
      </c>
      <c r="J12" s="71">
        <v>0</v>
      </c>
      <c r="K12" s="71">
        <v>1010</v>
      </c>
      <c r="L12" s="71">
        <v>0</v>
      </c>
      <c r="M12" s="71">
        <v>218160</v>
      </c>
      <c r="N12" s="69" t="str">
        <v>-</v>
      </c>
      <c r="O12" s="71" t="str">
        <v>-</v>
      </c>
      <c r="P12" s="71" t="str">
        <v>-</v>
      </c>
      <c r="Q12" s="71">
        <v>218160</v>
      </c>
      <c r="R12" s="69" t="str">
        <v>Carbon Steel | BPCL-Kochi</v>
      </c>
    </row>
    <row r="13">
      <c r="A13" s="69" t="str">
        <v>ELBOW 90D</v>
      </c>
      <c r="B13" s="69" t="str">
        <v>2 IN</v>
      </c>
      <c r="C13" s="69">
        <v>5.54</v>
      </c>
      <c r="D13" s="69" t="str">
        <v>ASTM A234 GR.WPB</v>
      </c>
      <c r="E13" s="69" t="str">
        <v>Carbon Steel</v>
      </c>
      <c r="F13" s="69">
        <v>5</v>
      </c>
      <c r="G13" s="69">
        <v>10</v>
      </c>
      <c r="H13" s="69">
        <v>0</v>
      </c>
      <c r="I13" s="69">
        <v>20</v>
      </c>
      <c r="J13" s="71">
        <v>0</v>
      </c>
      <c r="K13" s="71">
        <v>860</v>
      </c>
      <c r="L13" s="71">
        <v>0</v>
      </c>
      <c r="M13" s="71">
        <v>17200</v>
      </c>
      <c r="N13" s="69" t="str">
        <v>-</v>
      </c>
      <c r="O13" s="71" t="str">
        <v>-</v>
      </c>
      <c r="P13" s="71" t="str">
        <v>-</v>
      </c>
      <c r="Q13" s="71">
        <v>17200</v>
      </c>
      <c r="R13" s="69" t="str">
        <v>Carbon Steel | BPCL-Kochi</v>
      </c>
    </row>
    <row r="14">
      <c r="A14" s="69" t="str">
        <v>ELBOW 90D</v>
      </c>
      <c r="B14" s="69" t="str">
        <v>3/4 IN</v>
      </c>
      <c r="C14" s="69">
        <v>5.54</v>
      </c>
      <c r="D14" s="69" t="str">
        <v>ASTM A105</v>
      </c>
      <c r="E14" s="69" t="str">
        <v>Carbon Steel</v>
      </c>
      <c r="F14" s="69">
        <v>4</v>
      </c>
      <c r="G14" s="69">
        <v>8</v>
      </c>
      <c r="H14" s="69">
        <v>0</v>
      </c>
      <c r="I14" s="69">
        <v>6</v>
      </c>
      <c r="J14" s="71">
        <v>0</v>
      </c>
      <c r="K14" s="71">
        <v>860</v>
      </c>
      <c r="L14" s="71">
        <v>0</v>
      </c>
      <c r="M14" s="71">
        <v>5160</v>
      </c>
      <c r="N14" s="69" t="str">
        <v>-</v>
      </c>
      <c r="O14" s="71" t="str">
        <v>-</v>
      </c>
      <c r="P14" s="71" t="str">
        <v>-</v>
      </c>
      <c r="Q14" s="71">
        <v>5160</v>
      </c>
      <c r="R14" s="69" t="str">
        <v>Carbon Steel | BPCL-Kochi</v>
      </c>
    </row>
    <row r="15">
      <c r="A15" s="69" t="str">
        <v>FLANGE WN</v>
      </c>
      <c r="B15" s="69" t="str">
        <v>12 IN</v>
      </c>
      <c r="C15" s="69">
        <v>9.53</v>
      </c>
      <c r="D15" s="69" t="str">
        <v>ASTM A105</v>
      </c>
      <c r="E15" s="69" t="str">
        <v>Carbon Steel</v>
      </c>
      <c r="F15" s="69">
        <v>14</v>
      </c>
      <c r="G15" s="69">
        <v>14</v>
      </c>
      <c r="H15" s="69">
        <v>0</v>
      </c>
      <c r="I15" s="69">
        <v>168</v>
      </c>
      <c r="J15" s="71">
        <v>0</v>
      </c>
      <c r="K15" s="71">
        <v>860</v>
      </c>
      <c r="L15" s="71">
        <v>0</v>
      </c>
      <c r="M15" s="71">
        <v>144480</v>
      </c>
      <c r="N15" s="69" t="str">
        <v>-</v>
      </c>
      <c r="O15" s="71" t="str">
        <v>-</v>
      </c>
      <c r="P15" s="71" t="str">
        <v>-</v>
      </c>
      <c r="Q15" s="71">
        <v>144480</v>
      </c>
      <c r="R15" s="69" t="str">
        <v>Carbon Steel | BPCL-Kochi</v>
      </c>
    </row>
    <row r="16">
      <c r="A16" s="69" t="str">
        <v>BLIND FLANGE</v>
      </c>
      <c r="B16" s="69" t="str">
        <v>12 IN</v>
      </c>
      <c r="C16" s="69">
        <v>9.53</v>
      </c>
      <c r="D16" s="69" t="str">
        <v>ASTM A105</v>
      </c>
      <c r="E16" s="69" t="str">
        <v>Carbon Steel</v>
      </c>
      <c r="F16" s="69">
        <v>4</v>
      </c>
      <c r="G16" s="69">
        <v>4</v>
      </c>
      <c r="H16" s="69">
        <v>0</v>
      </c>
      <c r="I16" s="69">
        <v>48</v>
      </c>
      <c r="J16" s="71">
        <v>0</v>
      </c>
      <c r="K16" s="71">
        <v>860</v>
      </c>
      <c r="L16" s="71">
        <v>0</v>
      </c>
      <c r="M16" s="71">
        <v>41280</v>
      </c>
      <c r="N16" s="69" t="str">
        <v>-</v>
      </c>
      <c r="O16" s="71" t="str">
        <v>-</v>
      </c>
      <c r="P16" s="71" t="str">
        <v>-</v>
      </c>
      <c r="Q16" s="71">
        <v>41280</v>
      </c>
      <c r="R16" s="69" t="str">
        <v>Carbon Steel | BPCL-Kochi</v>
      </c>
    </row>
    <row r="17">
      <c r="A17" s="69" t="str">
        <v>SPACER &amp; BLIND</v>
      </c>
      <c r="B17" s="69" t="str">
        <v>12 IN</v>
      </c>
      <c r="C17" s="69">
        <v>9.53</v>
      </c>
      <c r="D17" s="69" t="str">
        <v>ASTM A105</v>
      </c>
      <c r="E17" s="69" t="str">
        <v>Carbon Steel</v>
      </c>
      <c r="F17" s="69">
        <v>7</v>
      </c>
      <c r="G17" s="69">
        <v>7</v>
      </c>
      <c r="H17" s="69">
        <v>0</v>
      </c>
      <c r="I17" s="69">
        <v>84</v>
      </c>
      <c r="J17" s="71">
        <v>0</v>
      </c>
      <c r="K17" s="71">
        <v>860</v>
      </c>
      <c r="L17" s="71">
        <v>0</v>
      </c>
      <c r="M17" s="71">
        <v>72240</v>
      </c>
      <c r="N17" s="69" t="str">
        <v>-</v>
      </c>
      <c r="O17" s="71" t="str">
        <v>-</v>
      </c>
      <c r="P17" s="71" t="str">
        <v>-</v>
      </c>
      <c r="Q17" s="71">
        <v>72240</v>
      </c>
      <c r="R17" s="69" t="str">
        <v>Carbon Steel | BPCL-Kochi</v>
      </c>
    </row>
    <row r="18" xml:space="preserve">
      <c r="A18" s="69" t="str">
        <v>BALL VALVE</v>
      </c>
      <c r="B18" s="69" t="str">
        <v>12"</v>
      </c>
      <c r="C18" s="69" t="str">
        <v>-</v>
      </c>
      <c r="D18" s="69" t="str" xml:space="preserve">
        <v xml:space="preserve">BODY-ASTM A 105/A_x000d_
216GR.WCB,TRIM-SEAT-RPTFE</v>
      </c>
      <c r="E18" s="69" t="str">
        <v>Carbon Steel</v>
      </c>
      <c r="F18" s="69">
        <v>7</v>
      </c>
      <c r="G18" s="69" t="str">
        <v>-</v>
      </c>
      <c r="H18" s="69" t="str">
        <v>-</v>
      </c>
      <c r="I18" s="69" t="str">
        <v>-</v>
      </c>
      <c r="J18" s="71" t="str">
        <v>-</v>
      </c>
      <c r="K18" s="71" t="str">
        <v>-</v>
      </c>
      <c r="L18" s="71" t="str">
        <v>-</v>
      </c>
      <c r="M18" s="71" t="str">
        <v>-</v>
      </c>
      <c r="N18" s="69">
        <v>288</v>
      </c>
      <c r="O18" s="71">
        <v>30.53</v>
      </c>
      <c r="P18" s="71">
        <v>61548.479999999996</v>
      </c>
      <c r="Q18" s="71">
        <v>61548.479999999996</v>
      </c>
      <c r="R18" s="69" t="str">
        <v>Valve other than RTJ | IOCL-ME-SOR | Valve other than RTJ | Rs 30.53/kg</v>
      </c>
    </row>
    <row r="19" xml:space="preserve">
      <c r="A19" s="69" t="str">
        <v>BALL VALVE</v>
      </c>
      <c r="B19" s="69" t="str">
        <v>3/4"</v>
      </c>
      <c r="C19" s="69" t="str">
        <v>-</v>
      </c>
      <c r="D19" s="69" t="str" xml:space="preserve">
        <v xml:space="preserve">BODY-ASTM A 105/A_x000d_
216GR.WCB,TRIM-SEAT-RPTFE</v>
      </c>
      <c r="E19" s="69" t="str">
        <v>Carbon Steel</v>
      </c>
      <c r="F19" s="69">
        <v>8</v>
      </c>
      <c r="G19" s="69" t="str">
        <v>-</v>
      </c>
      <c r="H19" s="69" t="str">
        <v>-</v>
      </c>
      <c r="I19" s="69" t="str">
        <v>-</v>
      </c>
      <c r="J19" s="71" t="str">
        <v>-</v>
      </c>
      <c r="K19" s="71" t="str">
        <v>-</v>
      </c>
      <c r="L19" s="71" t="str">
        <v>-</v>
      </c>
      <c r="M19" s="71" t="str">
        <v>-</v>
      </c>
      <c r="N19" s="69">
        <v>10.222756710898764</v>
      </c>
      <c r="O19" s="71">
        <v>30.53</v>
      </c>
      <c r="P19" s="71">
        <v>2496.806099069914</v>
      </c>
      <c r="Q19" s="71">
        <v>2496.806099069914</v>
      </c>
      <c r="R19" s="69" t="str">
        <v>Valve other than RTJ | IOCL-ME-SOR | Valve other than RTJ | Rs 30.53/kg</v>
      </c>
    </row>
    <row r="20">
      <c r="A20" s="69" t="str">
        <v>FLANGE SW</v>
      </c>
      <c r="B20" s="69" t="str">
        <v>3/4 IN</v>
      </c>
      <c r="C20" s="69">
        <v>2.87</v>
      </c>
      <c r="D20" s="69" t="str">
        <v>ASTM A105</v>
      </c>
      <c r="E20" s="69" t="str">
        <v>Carbon Steel</v>
      </c>
      <c r="F20" s="69">
        <v>8</v>
      </c>
      <c r="G20" s="69">
        <v>8</v>
      </c>
      <c r="H20" s="69">
        <v>0</v>
      </c>
      <c r="I20" s="69">
        <v>6</v>
      </c>
      <c r="J20" s="71">
        <v>0</v>
      </c>
      <c r="K20" s="71">
        <v>860</v>
      </c>
      <c r="L20" s="71">
        <v>0</v>
      </c>
      <c r="M20" s="71">
        <v>5160</v>
      </c>
      <c r="N20" s="69" t="str">
        <v>-</v>
      </c>
      <c r="O20" s="71" t="str">
        <v>-</v>
      </c>
      <c r="P20" s="71" t="str">
        <v>-</v>
      </c>
      <c r="Q20" s="71">
        <v>5160</v>
      </c>
      <c r="R20" s="69" t="str">
        <v>Carbon Steel | BPCL-Kochi</v>
      </c>
    </row>
    <row r="21">
      <c r="A21" s="69" t="str">
        <v>BLIND FLANGE</v>
      </c>
      <c r="B21" s="69" t="str">
        <v>3/4 IN</v>
      </c>
      <c r="C21" s="69">
        <v>2.87</v>
      </c>
      <c r="D21" s="69" t="str">
        <v>ASTM A105</v>
      </c>
      <c r="E21" s="69" t="str">
        <v>Carbon Steel</v>
      </c>
      <c r="F21" s="69">
        <v>8</v>
      </c>
      <c r="G21" s="69">
        <v>8</v>
      </c>
      <c r="H21" s="69">
        <v>0</v>
      </c>
      <c r="I21" s="69">
        <v>6</v>
      </c>
      <c r="J21" s="71">
        <v>0</v>
      </c>
      <c r="K21" s="71">
        <v>860</v>
      </c>
      <c r="L21" s="71">
        <v>0</v>
      </c>
      <c r="M21" s="71">
        <v>5160</v>
      </c>
      <c r="N21" s="69" t="str">
        <v>-</v>
      </c>
      <c r="O21" s="71" t="str">
        <v>-</v>
      </c>
      <c r="P21" s="71" t="str">
        <v>-</v>
      </c>
      <c r="Q21" s="71">
        <v>5160</v>
      </c>
      <c r="R21" s="69" t="str">
        <v>Carbon Steel | BPCL-Kochi</v>
      </c>
    </row>
    <row r="22">
      <c r="A22" s="69" t="str">
        <v>COUPLING HALF</v>
      </c>
      <c r="B22" s="69" t="str">
        <v>3/4 IN</v>
      </c>
      <c r="C22" s="69">
        <v>5.54</v>
      </c>
      <c r="D22" s="69" t="str">
        <v>ASTM A105</v>
      </c>
      <c r="E22" s="69" t="str">
        <v>Carbon Steel</v>
      </c>
      <c r="F22" s="69">
        <v>8</v>
      </c>
      <c r="G22" s="69">
        <v>16</v>
      </c>
      <c r="H22" s="69">
        <v>0</v>
      </c>
      <c r="I22" s="69">
        <v>12</v>
      </c>
      <c r="J22" s="71">
        <v>0</v>
      </c>
      <c r="K22" s="71">
        <v>860</v>
      </c>
      <c r="L22" s="71">
        <v>0</v>
      </c>
      <c r="M22" s="71">
        <v>10320</v>
      </c>
      <c r="N22" s="69" t="str">
        <v>-</v>
      </c>
      <c r="O22" s="71" t="str">
        <v>-</v>
      </c>
      <c r="P22" s="71" t="str">
        <v>-</v>
      </c>
      <c r="Q22" s="71">
        <v>10320</v>
      </c>
      <c r="R22" s="69" t="str">
        <v>Carbon Steel | BPCL-Kochi</v>
      </c>
    </row>
    <row r="24">
      <c r="A24" s="78" t="str">
        <v>REWORK / MODIFICATION (15.00% TOTAL PROJECT ID)</v>
      </c>
      <c r="I24" s="79">
        <v>251.92499999999998</v>
      </c>
      <c r="Q24" s="80">
        <v>368582.7</v>
      </c>
    </row>
    <row r="25">
      <c r="A25" s="81" t="str">
        <v>PIPE SUPPORT STRUCTURAL COST</v>
      </c>
      <c r="N25" s="82">
        <v>3.380726790108</v>
      </c>
      <c r="O25" s="80">
        <v>150000</v>
      </c>
      <c r="Q25" s="80">
        <v>507109.0185162</v>
      </c>
    </row>
    <row r="26">
      <c r="A26" s="81" t="str">
        <v>CIVIL COST FOR PIPE SUPPORT (INSIDE UNIT BATTERY LIMIT 30%)</v>
      </c>
      <c r="N26" s="83">
        <v>50</v>
      </c>
      <c r="O26" s="80">
        <v>3276</v>
      </c>
      <c r="Q26" s="80">
        <v>163800</v>
      </c>
    </row>
    <row r="27">
      <c r="A27" s="81" t="str">
        <v>PIPE PAINTING COST (P50)</v>
      </c>
      <c r="N27" s="84">
        <v>246.9913861066988</v>
      </c>
      <c r="O27" s="80">
        <v>1010</v>
      </c>
      <c r="Q27" s="80">
        <v>249461.29996776578</v>
      </c>
    </row>
    <row r="28">
      <c r="A28" s="81" t="str">
        <v>PIPE INSULATION COST (P50)</v>
      </c>
      <c r="N28" s="84">
        <v>0</v>
      </c>
      <c r="O28" s="80">
        <v>0</v>
      </c>
      <c r="Q28" s="80">
        <v>0</v>
      </c>
    </row>
    <row r="29">
      <c r="A29" s="81" t="str">
        <v>PWHT COST (IF APPLICABLE)</v>
      </c>
      <c r="I29" s="79">
        <v>768</v>
      </c>
      <c r="Q29" s="80">
        <v>313344</v>
      </c>
    </row>
    <row r="30">
      <c r="A30" s="81" t="str">
        <v>DIRECT SERVICE COST TOTAL</v>
      </c>
      <c r="L30" s="80">
        <v>1733955</v>
      </c>
      <c r="M30" s="80">
        <v>2457218</v>
      </c>
      <c r="P30" s="80">
        <v>64045.28609906991</v>
      </c>
      <c r="Q30" s="80">
        <v>5857515.304583036</v>
      </c>
    </row>
    <row r="32">
      <c r="A32" s="77" t="str">
        <v>Audit note</v>
      </c>
      <c r="B32" s="69" t="str">
        <v>PWHT is evaluated only where the BOM Piping Class / PMS Class, material, and thickness match nrl_pwht_rules. PWHT quantity uses eligible pipe welding ID. CS and LTCS use Rs 408/ID; low-alloy P11/P12/P22 use Rs 559/ID; high-alloy P5/P9 use Rs 613/ID; P91/P92 use Rs 715/ID; Austenitic Stainless Steel uses the alloy-steel Rs 559/ID rate. Rows without a class or an exact applicable rule stay Review or Not applicable and are excluded. Pipe rows use erection plus welding: each pipe row is one run, with 6 m stock-length joints x 1.60, rounded up. Fittings use matching-pipe butt-weld rates with a connection-end proxy. Escalation, contingency, commissioning, taxes and commercial terms are excluded.</v>
      </c>
    </row>
  </sheetData>
  <autoFilter ref="A6:R22"/>
  <mergeCells count="5">
    <mergeCell ref="A1:R1"/>
    <mergeCell ref="A2:R2"/>
    <mergeCell ref="B3:F3"/>
    <mergeCell ref="H3:M3"/>
    <mergeCell ref="B32:R32"/>
  </mergeCells>
  <ignoredErrors>
    <ignoredError numberStoredAsText="1" sqref="A1:R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31.83203125" customWidth="1"/>
    <col min="2" max="2" width="128.83203125" customWidth="1"/>
  </cols>
  <sheetData>
    <row r="1" ht="27" customHeight="1">
      <c r="A1" s="54" t="str">
        <v>Calculation Methodology &amp; Audit Trail</v>
      </c>
    </row>
    <row r="2" ht="22" customHeight="1">
      <c r="A2" s="85" t="str">
        <v>Key pricing basis, derived quantities, rate sources and exclusions.</v>
      </c>
    </row>
    <row r="3"/>
    <row r="4" ht="22" customHeight="1">
      <c r="A4" s="86" t="str">
        <v>Part A - Material Cost Methodology</v>
      </c>
    </row>
    <row r="5" ht="28" customHeight="1">
      <c r="A5" s="87" t="str">
        <v>Component pricing</v>
      </c>
      <c r="B5" s="88" t="str">
        <v>Each component follows its approved group method and quantity basis.</v>
      </c>
    </row>
    <row r="6" ht="35" customHeight="1">
      <c r="A6" s="89" t="str">
        <v>Pipe weight</v>
      </c>
      <c r="B6" s="90" t="str">
        <v>W = 0.0246615 x (OD - t) x t, where OD is actual outside diameter in mm and t is wall thickness in mm. Pipe total weight = kg/m x length.</v>
      </c>
    </row>
    <row r="7" ht="62" customHeight="1">
      <c r="A7" s="89" t="str">
        <v>90 degree LR elbows</v>
      </c>
      <c r="B7" s="90" t="str">
        <v>Developed length = 2.356 x actual OD. Elbow weight = pipe kg/m x developed length. CS factor bands: 2 IN = 5.00; above 2 to 4 IN = 3.50; above 4 to 20 IN = 2.50; above 20 to 26 IN = 2.80; above 26 to 48 IN = 3.20. Unit Rs = elbow weight x raw material Rs/kg x factor x material multiplier.</v>
      </c>
    </row>
    <row r="8" ht="35" customHeight="1">
      <c r="A8" s="89" t="str">
        <v>45 degree elbows</v>
      </c>
      <c r="B8" s="90" t="str">
        <v>Uses 50% of the matching 90 degree elbow physical weight. Unit price = 65% of matching 90 degree elbow price for NPS 2 to 6 IN, and 60% for NPS 8 to 48 IN.</v>
      </c>
    </row>
    <row r="9" ht="52" customHeight="1">
      <c r="A9" s="89" t="str">
        <v>Equal tees</v>
      </c>
      <c r="B9" s="90" t="str">
        <v>Developed length = 2C + M - 0.5 x OD. Tee weight = pipe kg/m x developed length. PO-derived conversion factors: NPS 2 to 4 IN = 4.41; NPS 6 to 20 IN = 3.86; NPS 24 to 48 IN = 3.55. Unit Rs = tee weight x raw material Rs/kg x factor x material multiplier.</v>
      </c>
    </row>
    <row r="10" ht="52" customHeight="1">
      <c r="A10" s="89" t="str">
        <v>Reducing tees</v>
      </c>
      <c r="B10" s="90" t="str">
        <v>Uses approved unequal-tee C and M dimensions; run and branch pipe-weight portions are combined, then the same PO-derived Equal Tee factor is used for the run size. When dimensions cannot produce a price, the readable run-size Equal Tee price is used and labelled Equal tee fallback.</v>
      </c>
    </row>
    <row r="11" ht="35" customHeight="1">
      <c r="A11" s="89" t="str">
        <v>Flanges</v>
      </c>
      <c r="B11" s="90" t="str">
        <v>WN, SO and Blind flange cost = JSON flange weight x raw material Rs/kg x P50 base multiplier x quantity.</v>
      </c>
    </row>
    <row r="12" ht="45" customHeight="1">
      <c r="A12" s="89" t="str">
        <v>Metric stud sets</v>
      </c>
      <c r="B12" s="90" t="str">
        <v>Cost = calculated stud-and-two-heavy-hex-nut mass x raw material Rs/kg x commercial raw-to-finished factor 2.50 x quantity. ASME B18.2.4.6M heavy-hex nut dimensions are used.</v>
      </c>
    </row>
    <row r="13" ht="28" customHeight="1">
      <c r="A13" s="89" t="str">
        <v>Other components</v>
      </c>
      <c r="B13" s="90" t="str">
        <v>Non-pipe components continue to use their approved component pricing methods.</v>
      </c>
    </row>
    <row r="14" ht="28" customHeight="1">
      <c r="A14" s="89" t="str">
        <v>Excluded from stud-set mass</v>
      </c>
      <c r="B14" s="90" t="str">
        <v>Washers, coatings, chamfers, thread tolerances and manufacturing variation.</v>
      </c>
    </row>
    <row r="15" ht="42" customHeight="1">
      <c r="A15" s="89" t="str">
        <v>Commercial scope</v>
      </c>
      <c r="B15" s="90" t="str">
        <v>This is an indicative material and direct-service estimate. Taxes, freight, escalation, contingency, packing, wastage, contractor margin and commercial terms are excluded unless separately stated.</v>
      </c>
    </row>
    <row r="16"/>
    <row r="17" ht="22" customHeight="1">
      <c r="A17" s="91" t="str">
        <v>Part B - Service Cost Methodology</v>
      </c>
    </row>
    <row r="18" ht="42" customHeight="1">
      <c r="A18" s="89" t="str">
        <v>Rate library</v>
      </c>
      <c r="B18" s="90" t="str">
        <v>Carbon Steel uses CS rates, Austenitic Stainless Steel uses SS rates, and Alloy Steel uses AS rates. Unclassified rows use CS as a visible fallback; other unsupported categories remain Review.</v>
      </c>
    </row>
    <row r="19" ht="42" customHeight="1">
      <c r="A19" s="89" t="str">
        <v>Pipe erection and welding</v>
      </c>
      <c r="B19" s="90" t="str">
        <v>Each pipe row is treated as one run. Base joints = ceiling(pipe length / 6 m); estimated joints = ceiling(base joints x 1.60). Erection quantity = NPS x length in IM; welding quantity = estimated joints x NPS in ID.</v>
      </c>
    </row>
    <row r="20" ht="55" customHeight="1">
      <c r="A20" s="89" t="str">
        <v>PWHT</v>
      </c>
      <c r="B20" s="90" t="str">
        <v>Applied only when BOM Piping Class / PMS Class, material and wall thickness match NRL PWHT rules. Eligible rates are CS/LTCS Rs 408/ID, P11/P12/P22 Rs 559/ID, P5/P9 Rs 613/ID, and P91/P92 Rs 715/ID. Austenitic Stainless Steel uses the Rs 559/ID alloy-steel rate.</v>
      </c>
    </row>
    <row r="21" ht="70" customHeight="1">
      <c r="A21" s="89" t="str">
        <v>Pipe supports</v>
      </c>
      <c r="B21" s="90" t="str">
        <v>Structural steel per support = matching pipe kg/m x 0.50 m support height. Total structural steel MT = per-support steel x support count, using suggested maximum spans: 1 IN = 2 m, 2 IN = 3 m, 3-4 IN = 4 m, and 6-48 IN = 6 m; then x Rs 1,50,000/MT. Civil support cost for a 300 mm above-ground support = individual support count x size-based civil cost per support: 3 IN = Rs 6,000, 20 IN = Rs 17,000 and 48 IN = Rs 26,000, linearly interpolated and rounded upward to the next Rs 500. Inside Unit Battery Limit uses 30% of this civil cost; Outside Unit Battery Limit uses 100%.</v>
      </c>
    </row>
    <row r="22" ht="55" customHeight="1">
      <c r="A22" s="89" t="str">
        <v>Insulation and painting</v>
      </c>
      <c r="B22" s="90" t="str">
        <v>Insulation = pi x OD (m) x length (m) x provisional P50 Rs/m2 at Design Temperature. Painting uses the same surface area: Rs 1,010/m2 at the 65C default; under-insulation rates are Rs 885/m2 from 65C to 200C, interpolate to Rs 2,220/m2 from 200C to 300C, then remain Rs 2,220/m2 to 500C.</v>
      </c>
    </row>
    <row r="23" ht="28" customHeight="1">
      <c r="A23" s="89" t="str">
        <v>Valve service</v>
      </c>
      <c r="B23" s="90" t="str">
        <v>Calculated valve material-cost weight x BOM quantity x IOCL-ME-SOR rate.</v>
      </c>
    </row>
    <row r="24" ht="28" customHeight="1">
      <c r="A24" s="89" t="str">
        <v>Excluded</v>
      </c>
      <c r="B24" s="90" t="str">
        <v>Commissioning, taxes, escalation and contingency.</v>
      </c>
    </row>
    <row r="25"/>
    <row r="26" ht="42" customHeight="1">
      <c r="A26" s="89" t="str">
        <v>Audit note</v>
      </c>
      <c r="B26" s="90" t="str">
        <v>Rows marked Review have incomplete BOM information or no calculated rate. Complete the required input before relying on the group total. Starting values are taken from the Piping Material &amp; Service Cost Estimator calculation at the time of export.</v>
      </c>
    </row>
  </sheetData>
  <mergeCells count="4">
    <mergeCell ref="A1:B1"/>
    <mergeCell ref="A2:B2"/>
    <mergeCell ref="A4:B4"/>
    <mergeCell ref="A17:B17"/>
  </mergeCells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Pipe Group</vt:lpstr>
      <vt:lpstr>Fitting Group</vt:lpstr>
      <vt:lpstr>Flange Group</vt:lpstr>
      <vt:lpstr>Valves Group</vt:lpstr>
      <vt:lpstr>Bolt Group</vt:lpstr>
      <vt:lpstr>Gasket Group</vt:lpstr>
      <vt:lpstr>Other Group</vt:lpstr>
      <vt:lpstr>Service Cost Part B</vt:lpstr>
      <vt:lpstr>Piping Service Cost</vt:lpstr>
      <vt:lpstr>Method and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