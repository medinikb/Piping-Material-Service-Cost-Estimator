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ustomProperty2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13_ncr:1_{09A4120E-3A5A-40DD-9B9F-9B220B8F58DB}" xr6:coauthVersionLast="47" xr6:coauthVersionMax="47" xr10:uidLastSave="{00000000-0000-0000-0000-000000000000}"/>
  <bookViews>
    <workbookView xWindow="20" yWindow="110" windowWidth="19180" windowHeight="9970" tabRatio="814" xr2:uid="{00000000-000D-0000-FFFF-FFFF00000000}"/>
  </bookViews>
  <sheets>
    <sheet name="Piping BOM" sheetId="3" r:id="rId1"/>
    <sheet name="Calculation 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5" i="3" l="1"/>
  <c r="H44" i="3"/>
  <c r="H46" i="3"/>
  <c r="D13" i="2"/>
  <c r="E13" i="2" s="1"/>
  <c r="D9" i="2"/>
  <c r="E9" i="2" s="1"/>
  <c r="E15" i="2"/>
  <c r="D15" i="2"/>
  <c r="D12" i="2"/>
  <c r="D11" i="2"/>
  <c r="D10" i="2"/>
  <c r="E10" i="2" s="1"/>
  <c r="D8" i="2"/>
  <c r="E8" i="2" s="1"/>
  <c r="D7" i="2"/>
  <c r="E7" i="2" s="1"/>
  <c r="F7" i="2" s="1"/>
  <c r="D6" i="2"/>
  <c r="E6" i="2" s="1"/>
  <c r="F6" i="2" s="1"/>
  <c r="F15" i="2" l="1"/>
  <c r="F13" i="2"/>
  <c r="F9" i="2"/>
  <c r="F10" i="2"/>
  <c r="F8" i="2"/>
</calcChain>
</file>

<file path=xl/sharedStrings.xml><?xml version="1.0" encoding="utf-8"?>
<sst xmlns="http://schemas.openxmlformats.org/spreadsheetml/2006/main" count="178" uniqueCount="84">
  <si>
    <t>Sl. No.</t>
  </si>
  <si>
    <t>Items</t>
  </si>
  <si>
    <t>Material</t>
  </si>
  <si>
    <t>Sch/Thck/Rating</t>
  </si>
  <si>
    <t>Tee</t>
  </si>
  <si>
    <t>END /FACING</t>
  </si>
  <si>
    <t>DIMENSION /DESIGN STD</t>
  </si>
  <si>
    <t>90 deg elbow</t>
  </si>
  <si>
    <t xml:space="preserve">  Pipe</t>
  </si>
  <si>
    <t>WNF</t>
  </si>
  <si>
    <t>BLF</t>
  </si>
  <si>
    <t>Gate valve</t>
  </si>
  <si>
    <t>3'' Mtl for loading</t>
  </si>
  <si>
    <t>Ball valve</t>
  </si>
  <si>
    <t>10" line</t>
  </si>
  <si>
    <t>pipe</t>
  </si>
  <si>
    <t>gasket</t>
  </si>
  <si>
    <t>Quantity</t>
  </si>
  <si>
    <t xml:space="preserve"> Nos.</t>
  </si>
  <si>
    <t>Rev.</t>
  </si>
  <si>
    <t>Date</t>
  </si>
  <si>
    <t>Originator</t>
  </si>
  <si>
    <t>Checked</t>
  </si>
  <si>
    <t>Approved</t>
  </si>
  <si>
    <t>Description</t>
  </si>
  <si>
    <t>NUMALIGARH REFINERY LIMITED</t>
  </si>
  <si>
    <t>UoM  (M/NOS)</t>
  </si>
  <si>
    <t xml:space="preserve">Document Tittle : - Piping  Bill of Material (BOM) </t>
  </si>
  <si>
    <t xml:space="preserve">Size </t>
  </si>
  <si>
    <t>Page no :- 1 of 2</t>
  </si>
  <si>
    <t>Page no :- 2 of 2</t>
  </si>
  <si>
    <t>Prepared by :- Engineering &amp; Estimation Dept.</t>
  </si>
  <si>
    <t>API-590</t>
  </si>
  <si>
    <t>2"</t>
  </si>
  <si>
    <t>B - 16.5</t>
  </si>
  <si>
    <t>FLANGE WN</t>
  </si>
  <si>
    <t>12"</t>
  </si>
  <si>
    <t>3/4"</t>
  </si>
  <si>
    <t>ELBOW 90D</t>
  </si>
  <si>
    <t>ELBOW 45D</t>
  </si>
  <si>
    <t>TEE EQUAL</t>
  </si>
  <si>
    <t xml:space="preserve"> Piping  BOM </t>
  </si>
  <si>
    <t>BLIND FLANGE</t>
  </si>
  <si>
    <t>BALL VALVE</t>
  </si>
  <si>
    <t>PIPE SEAMLESS</t>
  </si>
  <si>
    <t>S80</t>
  </si>
  <si>
    <t>XS</t>
  </si>
  <si>
    <t>ASTM A106 GR.B</t>
  </si>
  <si>
    <t>B-36.10</t>
  </si>
  <si>
    <t>BE</t>
  </si>
  <si>
    <t>PE</t>
  </si>
  <si>
    <t>FLANGE SW</t>
  </si>
  <si>
    <t>STUDS &amp; NUTS</t>
  </si>
  <si>
    <t>ASTM A234 GR.WPB</t>
  </si>
  <si>
    <t>600#</t>
  </si>
  <si>
    <t>B - 16.9</t>
  </si>
  <si>
    <t>BW</t>
  </si>
  <si>
    <t>ASTM A105</t>
  </si>
  <si>
    <t>B - 16.11</t>
  </si>
  <si>
    <t>3000#</t>
  </si>
  <si>
    <t>RF</t>
  </si>
  <si>
    <t>M</t>
  </si>
  <si>
    <t>SPACER &amp; BLIND</t>
  </si>
  <si>
    <t>FF</t>
  </si>
  <si>
    <t>COUPLING HALF</t>
  </si>
  <si>
    <t>SW</t>
  </si>
  <si>
    <t>BODY-ASTM A 105/A
216GR.WCB,TRIM-SEAT-RPTFE</t>
  </si>
  <si>
    <t>BS EN ISO 17292</t>
  </si>
  <si>
    <t>API - 601</t>
  </si>
  <si>
    <t>5MM</t>
  </si>
  <si>
    <t>SS304 SPR WND + CA FIL</t>
  </si>
  <si>
    <t>M33x240</t>
  </si>
  <si>
    <t>M16x100</t>
  </si>
  <si>
    <t>B - 18.2</t>
  </si>
  <si>
    <t>A193 GR. B7 &amp; A194 GR.2H</t>
  </si>
  <si>
    <t>GASKET SPIRAL</t>
  </si>
  <si>
    <t>M33x350</t>
  </si>
  <si>
    <t>0-60KG/CM2</t>
  </si>
  <si>
    <t>PRESSURE GAUGE WITH ACCESSORIES</t>
  </si>
  <si>
    <t>AS PER MNF. STD.</t>
  </si>
  <si>
    <t>22 mm</t>
  </si>
  <si>
    <t>Reference : NRL EIL PMS (D25A)</t>
  </si>
  <si>
    <t>JOB Description :- Demo</t>
  </si>
  <si>
    <t>JOB No : -Demo No-0001-2026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</si>
</sst>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70C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2" fontId="0" fillId="0" borderId="0" xfId="0" applyNumberFormat="1"/>
    <xf numFmtId="0" fontId="0" fillId="0" borderId="2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</xdr:colOff>
      <xdr:row>1</xdr:row>
      <xdr:rowOff>17808</xdr:rowOff>
    </xdr:from>
    <xdr:to>
      <xdr:col>2</xdr:col>
      <xdr:colOff>749406</xdr:colOff>
      <xdr:row>4</xdr:row>
      <xdr:rowOff>179733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48898" y="208308"/>
          <a:ext cx="730356" cy="7334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K47"/>
  <sheetViews>
    <sheetView tabSelected="1" zoomScale="85" zoomScaleNormal="85" zoomScaleSheetLayoutView="110" workbookViewId="0">
      <selection activeCell="L9" sqref="L9"/>
    </sheetView>
  </sheetViews>
  <sheetFormatPr defaultRowHeight="14.5" x14ac:dyDescent="0.35"/>
  <cols>
    <col min="1" max="1" width="7.26953125" style="2" customWidth="1"/>
    <col min="2" max="2" width="21.54296875" style="14" customWidth="1"/>
    <col min="3" max="3" width="12.453125" style="1" customWidth="1"/>
    <col min="4" max="4" width="15.81640625" style="1" bestFit="1" customWidth="1"/>
    <col min="5" max="5" width="28.7265625" style="1" customWidth="1"/>
    <col min="6" max="7" width="12.26953125" style="1" customWidth="1"/>
    <col min="8" max="8" width="12.26953125" style="2" customWidth="1"/>
    <col min="9" max="9" width="8.81640625" style="2" customWidth="1"/>
    <col min="11" max="11" width="10.26953125" bestFit="1" customWidth="1"/>
  </cols>
  <sheetData>
    <row r="2" spans="3:8" ht="15" customHeight="1" x14ac:dyDescent="0.35">
      <c r="C2" s="26" t="s">
        <v>25</v>
      </c>
      <c r="D2" s="26"/>
      <c r="E2" s="26"/>
      <c r="F2" s="26"/>
      <c r="G2" s="27" t="s">
        <v>29</v>
      </c>
      <c r="H2" s="28"/>
    </row>
    <row r="3" spans="3:8" ht="15" customHeight="1" x14ac:dyDescent="0.35">
      <c r="C3" s="26"/>
      <c r="D3" s="26"/>
      <c r="E3" s="26"/>
      <c r="F3" s="26"/>
      <c r="G3" s="28"/>
      <c r="H3" s="28"/>
    </row>
    <row r="4" spans="3:8" ht="15" customHeight="1" x14ac:dyDescent="0.35">
      <c r="C4" s="26"/>
      <c r="D4" s="26"/>
      <c r="E4" s="26"/>
      <c r="F4" s="26"/>
      <c r="G4" s="28"/>
      <c r="H4" s="28"/>
    </row>
    <row r="5" spans="3:8" ht="15" customHeight="1" x14ac:dyDescent="0.35">
      <c r="C5" s="26"/>
      <c r="D5" s="26"/>
      <c r="E5" s="26"/>
      <c r="F5" s="26"/>
      <c r="G5" s="28"/>
      <c r="H5" s="28"/>
    </row>
    <row r="8" spans="3:8" ht="15.5" x14ac:dyDescent="0.35">
      <c r="C8" s="29" t="s">
        <v>27</v>
      </c>
      <c r="D8" s="29"/>
      <c r="E8" s="29"/>
      <c r="F8" s="29"/>
      <c r="G8" s="29"/>
      <c r="H8" s="29"/>
    </row>
    <row r="9" spans="3:8" ht="15.5" x14ac:dyDescent="0.35">
      <c r="C9" s="29" t="s">
        <v>83</v>
      </c>
      <c r="D9" s="29"/>
      <c r="E9" s="29"/>
      <c r="F9" s="29"/>
      <c r="G9" s="29"/>
      <c r="H9" s="29"/>
    </row>
    <row r="10" spans="3:8" ht="31.5" customHeight="1" x14ac:dyDescent="0.35">
      <c r="C10" s="30" t="s">
        <v>82</v>
      </c>
      <c r="D10" s="30"/>
      <c r="E10" s="30"/>
      <c r="F10" s="30"/>
      <c r="G10" s="30"/>
      <c r="H10" s="30"/>
    </row>
    <row r="11" spans="3:8" x14ac:dyDescent="0.35">
      <c r="C11" s="24" t="s">
        <v>31</v>
      </c>
      <c r="D11" s="24"/>
      <c r="E11" s="24"/>
      <c r="F11" s="24"/>
      <c r="G11" s="24"/>
      <c r="H11" s="24"/>
    </row>
    <row r="12" spans="3:8" x14ac:dyDescent="0.35">
      <c r="C12" s="24" t="s">
        <v>81</v>
      </c>
      <c r="D12" s="24"/>
      <c r="E12" s="24"/>
      <c r="F12" s="24"/>
      <c r="G12" s="24"/>
      <c r="H12" s="24"/>
    </row>
    <row r="14" spans="3:8" x14ac:dyDescent="0.35">
      <c r="C14" s="9" t="s">
        <v>19</v>
      </c>
      <c r="D14" s="9" t="s">
        <v>20</v>
      </c>
      <c r="E14" s="9" t="s">
        <v>24</v>
      </c>
      <c r="F14" s="9" t="s">
        <v>21</v>
      </c>
      <c r="G14" s="9" t="s">
        <v>22</v>
      </c>
      <c r="H14" s="9" t="s">
        <v>23</v>
      </c>
    </row>
    <row r="15" spans="3:8" x14ac:dyDescent="0.35">
      <c r="C15" s="8"/>
      <c r="D15" s="10"/>
      <c r="E15" s="8"/>
      <c r="F15" s="8"/>
      <c r="G15" s="8"/>
      <c r="H15" s="8"/>
    </row>
    <row r="16" spans="3:8" x14ac:dyDescent="0.35">
      <c r="C16" s="8"/>
      <c r="D16" s="10"/>
      <c r="E16" s="8"/>
      <c r="F16" s="8"/>
      <c r="G16" s="8"/>
      <c r="H16" s="12"/>
    </row>
    <row r="17" spans="1:11" x14ac:dyDescent="0.35">
      <c r="C17" s="8"/>
      <c r="D17" s="10"/>
      <c r="E17" s="8"/>
      <c r="F17" s="8"/>
      <c r="G17" s="8"/>
      <c r="H17" s="12"/>
    </row>
    <row r="18" spans="1:11" x14ac:dyDescent="0.35">
      <c r="C18" s="8"/>
      <c r="D18" s="8"/>
      <c r="E18" s="8"/>
      <c r="F18" s="8"/>
      <c r="G18" s="8"/>
      <c r="H18" s="12"/>
    </row>
    <row r="19" spans="1:11" x14ac:dyDescent="0.35">
      <c r="C19" s="8"/>
      <c r="D19" s="8"/>
      <c r="E19" s="8"/>
      <c r="F19" s="8"/>
      <c r="G19" s="8"/>
      <c r="H19" s="12"/>
    </row>
    <row r="24" spans="1:11" ht="23.25" customHeight="1" x14ac:dyDescent="0.35">
      <c r="A24" s="25" t="s">
        <v>41</v>
      </c>
      <c r="B24" s="25"/>
      <c r="C24" s="25"/>
      <c r="D24" s="25"/>
      <c r="E24" s="25"/>
      <c r="F24" s="25"/>
      <c r="G24" s="25" t="s">
        <v>30</v>
      </c>
      <c r="H24" s="25"/>
      <c r="I24" s="25"/>
    </row>
    <row r="25" spans="1:11" s="3" customFormat="1" ht="43.5" customHeight="1" x14ac:dyDescent="0.35">
      <c r="A25" s="6" t="s">
        <v>0</v>
      </c>
      <c r="B25" s="5" t="s">
        <v>1</v>
      </c>
      <c r="C25" s="6" t="s">
        <v>28</v>
      </c>
      <c r="D25" s="5" t="s">
        <v>3</v>
      </c>
      <c r="E25" s="5" t="s">
        <v>2</v>
      </c>
      <c r="F25" s="6" t="s">
        <v>6</v>
      </c>
      <c r="G25" s="6" t="s">
        <v>5</v>
      </c>
      <c r="H25" s="6" t="s">
        <v>17</v>
      </c>
      <c r="I25" s="6" t="s">
        <v>26</v>
      </c>
    </row>
    <row r="26" spans="1:11" s="4" customFormat="1" ht="30.75" customHeight="1" x14ac:dyDescent="0.35">
      <c r="A26" s="16">
        <v>1</v>
      </c>
      <c r="B26" s="17" t="s">
        <v>44</v>
      </c>
      <c r="C26" s="7" t="s">
        <v>36</v>
      </c>
      <c r="D26" s="12" t="s">
        <v>80</v>
      </c>
      <c r="E26" s="12" t="s">
        <v>47</v>
      </c>
      <c r="F26" s="12" t="s">
        <v>48</v>
      </c>
      <c r="G26" s="12" t="s">
        <v>49</v>
      </c>
      <c r="H26" s="21">
        <v>240</v>
      </c>
      <c r="I26" s="7" t="s">
        <v>61</v>
      </c>
      <c r="J26" s="13"/>
      <c r="K26" s="15"/>
    </row>
    <row r="27" spans="1:11" ht="30.75" customHeight="1" x14ac:dyDescent="0.35">
      <c r="A27" s="16">
        <v>2</v>
      </c>
      <c r="B27" s="17" t="s">
        <v>44</v>
      </c>
      <c r="C27" s="12" t="s">
        <v>33</v>
      </c>
      <c r="D27" s="12" t="s">
        <v>46</v>
      </c>
      <c r="E27" s="12" t="s">
        <v>47</v>
      </c>
      <c r="F27" s="12" t="s">
        <v>48</v>
      </c>
      <c r="G27" s="12" t="s">
        <v>49</v>
      </c>
      <c r="H27" s="12">
        <v>12</v>
      </c>
      <c r="I27" s="7" t="s">
        <v>61</v>
      </c>
    </row>
    <row r="28" spans="1:11" ht="30.75" customHeight="1" x14ac:dyDescent="0.35">
      <c r="A28" s="16">
        <v>3</v>
      </c>
      <c r="B28" s="17" t="s">
        <v>44</v>
      </c>
      <c r="C28" s="12" t="s">
        <v>37</v>
      </c>
      <c r="D28" s="12" t="s">
        <v>46</v>
      </c>
      <c r="E28" s="12" t="s">
        <v>47</v>
      </c>
      <c r="F28" s="12" t="s">
        <v>48</v>
      </c>
      <c r="G28" s="12" t="s">
        <v>50</v>
      </c>
      <c r="H28" s="12">
        <v>6</v>
      </c>
      <c r="I28" s="7" t="s">
        <v>61</v>
      </c>
    </row>
    <row r="29" spans="1:11" ht="30.75" customHeight="1" x14ac:dyDescent="0.35">
      <c r="A29" s="16">
        <v>4</v>
      </c>
      <c r="B29" s="18" t="s">
        <v>38</v>
      </c>
      <c r="C29" s="12" t="s">
        <v>36</v>
      </c>
      <c r="D29" s="12" t="s">
        <v>45</v>
      </c>
      <c r="E29" s="12" t="s">
        <v>53</v>
      </c>
      <c r="F29" s="12" t="s">
        <v>55</v>
      </c>
      <c r="G29" s="12" t="s">
        <v>56</v>
      </c>
      <c r="H29" s="12">
        <v>8</v>
      </c>
      <c r="I29" s="7" t="s">
        <v>18</v>
      </c>
    </row>
    <row r="30" spans="1:11" ht="30.75" customHeight="1" x14ac:dyDescent="0.35">
      <c r="A30" s="16">
        <v>5</v>
      </c>
      <c r="B30" s="18" t="s">
        <v>39</v>
      </c>
      <c r="C30" s="12" t="s">
        <v>36</v>
      </c>
      <c r="D30" s="12" t="s">
        <v>45</v>
      </c>
      <c r="E30" s="12" t="s">
        <v>53</v>
      </c>
      <c r="F30" s="12" t="s">
        <v>55</v>
      </c>
      <c r="G30" s="12" t="s">
        <v>56</v>
      </c>
      <c r="H30" s="12">
        <v>6</v>
      </c>
      <c r="I30" s="7" t="s">
        <v>18</v>
      </c>
    </row>
    <row r="31" spans="1:11" ht="30.75" customHeight="1" x14ac:dyDescent="0.35">
      <c r="A31" s="16">
        <v>6</v>
      </c>
      <c r="B31" s="18" t="s">
        <v>40</v>
      </c>
      <c r="C31" s="12" t="s">
        <v>36</v>
      </c>
      <c r="D31" s="12" t="s">
        <v>45</v>
      </c>
      <c r="E31" s="12" t="s">
        <v>53</v>
      </c>
      <c r="F31" s="12" t="s">
        <v>55</v>
      </c>
      <c r="G31" s="12" t="s">
        <v>56</v>
      </c>
      <c r="H31" s="12">
        <v>6</v>
      </c>
      <c r="I31" s="7" t="s">
        <v>18</v>
      </c>
    </row>
    <row r="32" spans="1:11" ht="30.75" customHeight="1" x14ac:dyDescent="0.35">
      <c r="A32" s="16">
        <v>7</v>
      </c>
      <c r="B32" s="18" t="s">
        <v>38</v>
      </c>
      <c r="C32" s="12" t="s">
        <v>33</v>
      </c>
      <c r="D32" s="12" t="s">
        <v>46</v>
      </c>
      <c r="E32" s="12" t="s">
        <v>53</v>
      </c>
      <c r="F32" s="12" t="s">
        <v>55</v>
      </c>
      <c r="G32" s="12" t="s">
        <v>56</v>
      </c>
      <c r="H32" s="22">
        <v>5</v>
      </c>
      <c r="I32" s="7" t="s">
        <v>18</v>
      </c>
    </row>
    <row r="33" spans="1:9" ht="30.75" customHeight="1" x14ac:dyDescent="0.35">
      <c r="A33" s="16">
        <v>8</v>
      </c>
      <c r="B33" s="18" t="s">
        <v>38</v>
      </c>
      <c r="C33" s="12" t="s">
        <v>37</v>
      </c>
      <c r="D33" s="12" t="s">
        <v>59</v>
      </c>
      <c r="E33" s="12" t="s">
        <v>57</v>
      </c>
      <c r="F33" s="12" t="s">
        <v>58</v>
      </c>
      <c r="G33" s="12" t="s">
        <v>65</v>
      </c>
      <c r="H33" s="12">
        <v>4</v>
      </c>
      <c r="I33" s="7" t="s">
        <v>18</v>
      </c>
    </row>
    <row r="34" spans="1:9" ht="30.75" customHeight="1" x14ac:dyDescent="0.35">
      <c r="A34" s="16">
        <v>9</v>
      </c>
      <c r="B34" s="18" t="s">
        <v>35</v>
      </c>
      <c r="C34" s="12" t="s">
        <v>36</v>
      </c>
      <c r="D34" s="12" t="s">
        <v>54</v>
      </c>
      <c r="E34" s="12" t="s">
        <v>57</v>
      </c>
      <c r="F34" s="12" t="s">
        <v>34</v>
      </c>
      <c r="G34" s="12" t="s">
        <v>60</v>
      </c>
      <c r="H34" s="21">
        <v>14</v>
      </c>
      <c r="I34" s="7" t="s">
        <v>18</v>
      </c>
    </row>
    <row r="35" spans="1:9" ht="30.75" customHeight="1" x14ac:dyDescent="0.35">
      <c r="A35" s="16">
        <v>10</v>
      </c>
      <c r="B35" s="18" t="s">
        <v>42</v>
      </c>
      <c r="C35" s="12" t="s">
        <v>36</v>
      </c>
      <c r="D35" s="12" t="s">
        <v>54</v>
      </c>
      <c r="E35" s="12" t="s">
        <v>57</v>
      </c>
      <c r="F35" s="12" t="s">
        <v>34</v>
      </c>
      <c r="G35" s="12" t="s">
        <v>60</v>
      </c>
      <c r="H35" s="12">
        <v>4</v>
      </c>
      <c r="I35" s="7" t="s">
        <v>18</v>
      </c>
    </row>
    <row r="36" spans="1:9" ht="30.75" customHeight="1" x14ac:dyDescent="0.35">
      <c r="A36" s="16">
        <v>11</v>
      </c>
      <c r="B36" s="19" t="s">
        <v>62</v>
      </c>
      <c r="C36" s="12" t="s">
        <v>36</v>
      </c>
      <c r="D36" s="12" t="s">
        <v>54</v>
      </c>
      <c r="E36" s="12" t="s">
        <v>57</v>
      </c>
      <c r="F36" s="12" t="s">
        <v>32</v>
      </c>
      <c r="G36" s="12" t="s">
        <v>63</v>
      </c>
      <c r="H36" s="22">
        <v>7</v>
      </c>
      <c r="I36" s="7" t="s">
        <v>18</v>
      </c>
    </row>
    <row r="37" spans="1:9" ht="30.75" customHeight="1" x14ac:dyDescent="0.35">
      <c r="A37" s="16">
        <v>12</v>
      </c>
      <c r="B37" s="18" t="s">
        <v>43</v>
      </c>
      <c r="C37" s="12" t="s">
        <v>36</v>
      </c>
      <c r="D37" s="12" t="s">
        <v>54</v>
      </c>
      <c r="E37" s="11" t="s">
        <v>66</v>
      </c>
      <c r="F37" s="11" t="s">
        <v>67</v>
      </c>
      <c r="G37" s="12" t="s">
        <v>60</v>
      </c>
      <c r="H37" s="22">
        <v>7</v>
      </c>
      <c r="I37" s="7" t="s">
        <v>18</v>
      </c>
    </row>
    <row r="38" spans="1:9" ht="30.75" customHeight="1" x14ac:dyDescent="0.35">
      <c r="A38" s="16">
        <v>13</v>
      </c>
      <c r="B38" s="18" t="s">
        <v>43</v>
      </c>
      <c r="C38" s="12" t="s">
        <v>37</v>
      </c>
      <c r="D38" s="12" t="s">
        <v>54</v>
      </c>
      <c r="E38" s="11" t="s">
        <v>66</v>
      </c>
      <c r="F38" s="11" t="s">
        <v>67</v>
      </c>
      <c r="G38" s="12" t="s">
        <v>60</v>
      </c>
      <c r="H38" s="12">
        <v>8</v>
      </c>
      <c r="I38" s="7" t="s">
        <v>18</v>
      </c>
    </row>
    <row r="39" spans="1:9" ht="30.75" customHeight="1" x14ac:dyDescent="0.35">
      <c r="A39" s="16">
        <v>14</v>
      </c>
      <c r="B39" s="18" t="s">
        <v>51</v>
      </c>
      <c r="C39" s="12" t="s">
        <v>37</v>
      </c>
      <c r="D39" s="12" t="s">
        <v>54</v>
      </c>
      <c r="E39" s="12" t="s">
        <v>57</v>
      </c>
      <c r="F39" s="12" t="s">
        <v>34</v>
      </c>
      <c r="G39" s="12" t="s">
        <v>60</v>
      </c>
      <c r="H39" s="12">
        <v>8</v>
      </c>
      <c r="I39" s="7" t="s">
        <v>18</v>
      </c>
    </row>
    <row r="40" spans="1:9" ht="30.75" customHeight="1" x14ac:dyDescent="0.35">
      <c r="A40" s="16">
        <v>15</v>
      </c>
      <c r="B40" s="18" t="s">
        <v>42</v>
      </c>
      <c r="C40" s="12" t="s">
        <v>37</v>
      </c>
      <c r="D40" s="12" t="s">
        <v>54</v>
      </c>
      <c r="E40" s="12" t="s">
        <v>57</v>
      </c>
      <c r="F40" s="12" t="s">
        <v>34</v>
      </c>
      <c r="G40" s="12" t="s">
        <v>60</v>
      </c>
      <c r="H40" s="12">
        <v>8</v>
      </c>
      <c r="I40" s="7" t="s">
        <v>18</v>
      </c>
    </row>
    <row r="41" spans="1:9" ht="30.75" customHeight="1" x14ac:dyDescent="0.35">
      <c r="A41" s="16">
        <v>16</v>
      </c>
      <c r="B41" s="18" t="s">
        <v>75</v>
      </c>
      <c r="C41" s="12" t="s">
        <v>36</v>
      </c>
      <c r="D41" s="12" t="s">
        <v>69</v>
      </c>
      <c r="E41" s="12" t="s">
        <v>70</v>
      </c>
      <c r="F41" s="12" t="s">
        <v>68</v>
      </c>
      <c r="G41" s="12"/>
      <c r="H41" s="22">
        <v>30</v>
      </c>
      <c r="I41" s="7" t="s">
        <v>18</v>
      </c>
    </row>
    <row r="42" spans="1:9" ht="30.75" customHeight="1" x14ac:dyDescent="0.35">
      <c r="A42" s="16">
        <v>17</v>
      </c>
      <c r="B42" s="18" t="s">
        <v>75</v>
      </c>
      <c r="C42" s="12" t="s">
        <v>37</v>
      </c>
      <c r="D42" s="12" t="s">
        <v>69</v>
      </c>
      <c r="E42" s="12" t="s">
        <v>70</v>
      </c>
      <c r="F42" s="12" t="s">
        <v>68</v>
      </c>
      <c r="G42" s="12"/>
      <c r="H42" s="12">
        <v>16</v>
      </c>
      <c r="I42" s="7" t="s">
        <v>18</v>
      </c>
    </row>
    <row r="43" spans="1:9" ht="30.75" customHeight="1" x14ac:dyDescent="0.35">
      <c r="A43" s="16">
        <v>18</v>
      </c>
      <c r="B43" s="18" t="s">
        <v>64</v>
      </c>
      <c r="C43" s="12" t="s">
        <v>37</v>
      </c>
      <c r="D43" s="12" t="s">
        <v>59</v>
      </c>
      <c r="E43" s="12" t="s">
        <v>57</v>
      </c>
      <c r="F43" s="12" t="s">
        <v>58</v>
      </c>
      <c r="G43" s="12" t="s">
        <v>56</v>
      </c>
      <c r="H43" s="12">
        <v>8</v>
      </c>
      <c r="I43" s="7" t="s">
        <v>18</v>
      </c>
    </row>
    <row r="44" spans="1:9" ht="30.75" customHeight="1" x14ac:dyDescent="0.35">
      <c r="A44" s="16">
        <v>19</v>
      </c>
      <c r="B44" s="18" t="s">
        <v>52</v>
      </c>
      <c r="C44" s="12" t="s">
        <v>71</v>
      </c>
      <c r="D44" s="12"/>
      <c r="E44" s="12" t="s">
        <v>74</v>
      </c>
      <c r="F44" s="12" t="s">
        <v>73</v>
      </c>
      <c r="G44" s="12"/>
      <c r="H44" s="12">
        <f>20*H34</f>
        <v>280</v>
      </c>
      <c r="I44" s="7" t="s">
        <v>18</v>
      </c>
    </row>
    <row r="45" spans="1:9" ht="30.75" customHeight="1" x14ac:dyDescent="0.35">
      <c r="A45" s="16">
        <v>20</v>
      </c>
      <c r="B45" s="18" t="s">
        <v>52</v>
      </c>
      <c r="C45" s="12" t="s">
        <v>76</v>
      </c>
      <c r="D45" s="12"/>
      <c r="E45" s="12" t="s">
        <v>74</v>
      </c>
      <c r="F45" s="12" t="s">
        <v>73</v>
      </c>
      <c r="G45" s="12"/>
      <c r="H45" s="12">
        <f>20*H36</f>
        <v>140</v>
      </c>
      <c r="I45" s="7" t="s">
        <v>18</v>
      </c>
    </row>
    <row r="46" spans="1:9" ht="30.75" customHeight="1" x14ac:dyDescent="0.35">
      <c r="A46" s="16">
        <v>21</v>
      </c>
      <c r="B46" s="18" t="s">
        <v>52</v>
      </c>
      <c r="C46" s="12" t="s">
        <v>72</v>
      </c>
      <c r="D46" s="12"/>
      <c r="E46" s="12" t="s">
        <v>74</v>
      </c>
      <c r="F46" s="12" t="s">
        <v>73</v>
      </c>
      <c r="G46" s="12"/>
      <c r="H46" s="12">
        <f>4*H39</f>
        <v>32</v>
      </c>
      <c r="I46" s="7" t="s">
        <v>18</v>
      </c>
    </row>
    <row r="47" spans="1:9" ht="42" customHeight="1" x14ac:dyDescent="0.35">
      <c r="A47" s="12">
        <v>22</v>
      </c>
      <c r="B47" s="20" t="s">
        <v>78</v>
      </c>
      <c r="C47" s="12" t="s">
        <v>77</v>
      </c>
      <c r="D47" s="23" t="s">
        <v>79</v>
      </c>
      <c r="E47" s="23"/>
      <c r="F47" s="23"/>
      <c r="G47" s="23"/>
      <c r="H47" s="12">
        <v>1</v>
      </c>
      <c r="I47" s="7" t="s">
        <v>18</v>
      </c>
    </row>
  </sheetData>
  <mergeCells count="10">
    <mergeCell ref="D47:G47"/>
    <mergeCell ref="C12:H12"/>
    <mergeCell ref="A24:F24"/>
    <mergeCell ref="G24:I24"/>
    <mergeCell ref="C2:F5"/>
    <mergeCell ref="G2:H5"/>
    <mergeCell ref="C8:H8"/>
    <mergeCell ref="C9:H9"/>
    <mergeCell ref="C11:H11"/>
    <mergeCell ref="C10:H10"/>
  </mergeCells>
  <phoneticPr fontId="6" type="noConversion"/>
  <pageMargins left="0.7" right="0.7" top="0.75" bottom="0.75" header="0.3" footer="0.3"/>
  <pageSetup paperSize="9" scale="67" fitToHeight="0" orientation="portrait" horizontalDpi="1200" verticalDpi="1200" r:id="rId1"/>
  <rowBreaks count="1" manualBreakCount="1">
    <brk id="23" max="16383" man="1"/>
  </rowBreaks>
  <customProperties>
    <customPr name="EpmWorksheetKeyString_GUID" r:id="rId2"/>
  </customPropertie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5:F15"/>
  <sheetViews>
    <sheetView workbookViewId="0">
      <selection activeCell="F14" sqref="F14"/>
    </sheetView>
  </sheetViews>
  <sheetFormatPr defaultRowHeight="14.5" x14ac:dyDescent="0.35"/>
  <cols>
    <col min="3" max="3" width="16.26953125" customWidth="1"/>
  </cols>
  <sheetData>
    <row r="5" spans="2:6" x14ac:dyDescent="0.35">
      <c r="C5" t="s">
        <v>12</v>
      </c>
    </row>
    <row r="6" spans="2:6" x14ac:dyDescent="0.35">
      <c r="C6" t="s">
        <v>8</v>
      </c>
      <c r="D6">
        <f>13*25+4.5*44+7.6*6+21.5*22+46.5*3</f>
        <v>1181.0999999999999</v>
      </c>
      <c r="E6">
        <f>D6*2%</f>
        <v>23.622</v>
      </c>
      <c r="F6">
        <f>D6+E6</f>
        <v>1204.722</v>
      </c>
    </row>
    <row r="7" spans="2:6" x14ac:dyDescent="0.35">
      <c r="C7" t="s">
        <v>7</v>
      </c>
      <c r="D7">
        <f>6*25+3*44+3*6</f>
        <v>300</v>
      </c>
      <c r="E7">
        <f>D7*5%</f>
        <v>15</v>
      </c>
      <c r="F7">
        <f>D7+E7</f>
        <v>315</v>
      </c>
    </row>
    <row r="8" spans="2:6" x14ac:dyDescent="0.35">
      <c r="C8" t="s">
        <v>4</v>
      </c>
      <c r="D8">
        <f>3*25</f>
        <v>75</v>
      </c>
      <c r="E8">
        <f>D8*3%</f>
        <v>2.25</v>
      </c>
      <c r="F8">
        <f>D8+E8</f>
        <v>77.25</v>
      </c>
    </row>
    <row r="9" spans="2:6" x14ac:dyDescent="0.35">
      <c r="C9" t="s">
        <v>9</v>
      </c>
      <c r="D9">
        <f>6*25+1*50+2*25</f>
        <v>250</v>
      </c>
      <c r="E9">
        <f>D9*4%</f>
        <v>10</v>
      </c>
      <c r="F9">
        <f>D9+E9</f>
        <v>260</v>
      </c>
    </row>
    <row r="10" spans="2:6" x14ac:dyDescent="0.35">
      <c r="C10" t="s">
        <v>10</v>
      </c>
      <c r="D10">
        <f>2*25</f>
        <v>50</v>
      </c>
      <c r="E10">
        <f>D10*5%</f>
        <v>2.5</v>
      </c>
      <c r="F10">
        <f>D10+E10</f>
        <v>52.5</v>
      </c>
    </row>
    <row r="11" spans="2:6" x14ac:dyDescent="0.35">
      <c r="C11" t="s">
        <v>11</v>
      </c>
      <c r="D11">
        <f>2*25</f>
        <v>50</v>
      </c>
    </row>
    <row r="12" spans="2:6" x14ac:dyDescent="0.35">
      <c r="C12" t="s">
        <v>13</v>
      </c>
      <c r="D12">
        <f>1*25</f>
        <v>25</v>
      </c>
    </row>
    <row r="13" spans="2:6" x14ac:dyDescent="0.35">
      <c r="C13" t="s">
        <v>16</v>
      </c>
      <c r="D13">
        <f>7*25+2*50+2*25</f>
        <v>325</v>
      </c>
      <c r="E13">
        <f>D13*2%</f>
        <v>6.5</v>
      </c>
      <c r="F13">
        <f>D13+E13</f>
        <v>331.5</v>
      </c>
    </row>
    <row r="15" spans="2:6" x14ac:dyDescent="0.35">
      <c r="B15" t="s">
        <v>14</v>
      </c>
      <c r="C15" t="s">
        <v>15</v>
      </c>
      <c r="D15">
        <f>17+5+8+9+72+98+650</f>
        <v>859</v>
      </c>
      <c r="E15">
        <f>D15*2%</f>
        <v>17.18</v>
      </c>
      <c r="F15">
        <f>D15+E15</f>
        <v>876.18</v>
      </c>
    </row>
  </sheetData>
  <pageMargins left="0.7" right="0.7" top="0.75" bottom="0.75" header="0.3" footer="0.3"/>
  <customProperties>
    <customPr name="Epm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Piping BOM</vt:lpstr>
      <vt:lpstr>Calculation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2026-07-14T13:15:27Z</dcterms:modified>
</cp:coreProperties>
</file>